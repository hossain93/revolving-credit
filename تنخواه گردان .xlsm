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3040" windowHeight="9192"/>
  </bookViews>
  <sheets>
    <sheet name="670-696" sheetId="25" r:id="rId1"/>
    <sheet name="643-667" sheetId="24" r:id="rId2"/>
    <sheet name="617-642" sheetId="23" r:id="rId3"/>
    <sheet name="592-616" sheetId="22" r:id="rId4"/>
    <sheet name="567-591" sheetId="21" r:id="rId5"/>
    <sheet name="542-566" sheetId="20" r:id="rId6"/>
    <sheet name="517-541" sheetId="19" r:id="rId7"/>
    <sheet name="492-516" sheetId="18" r:id="rId8"/>
    <sheet name="467-491" sheetId="17" r:id="rId9"/>
    <sheet name="442-466" sheetId="16" r:id="rId10"/>
    <sheet name="417-441" sheetId="15" r:id="rId11"/>
    <sheet name="392-416" sheetId="14" r:id="rId12"/>
    <sheet name="366-391" sheetId="13" r:id="rId13"/>
    <sheet name="341-365" sheetId="12" r:id="rId14"/>
    <sheet name="329-340" sheetId="11" r:id="rId15"/>
    <sheet name="304-328" sheetId="10" r:id="rId16"/>
    <sheet name="279-303" sheetId="9" r:id="rId17"/>
    <sheet name="254-278" sheetId="8" r:id="rId18"/>
    <sheet name="229-253" sheetId="7" r:id="rId19"/>
    <sheet name="203-227" sheetId="6" r:id="rId20"/>
    <sheet name="178-202" sheetId="5" r:id="rId21"/>
    <sheet name="153-177" sheetId="4" r:id="rId22"/>
    <sheet name="128-152" sheetId="3" r:id="rId23"/>
    <sheet name="123-127" sheetId="2" r:id="rId24"/>
    <sheet name="99-122" sheetId="1" r:id="rId25"/>
  </sheets>
  <definedNames>
    <definedName name="_xlnm.Print_Area" localSheetId="22">'128-152'!$B$2:$N$33</definedName>
    <definedName name="_xlnm.Print_Area" localSheetId="21">'153-177'!$B$2:$N$33</definedName>
    <definedName name="_xlnm.Print_Area" localSheetId="20">'178-202'!$B$2:$N$33</definedName>
    <definedName name="_xlnm.Print_Area" localSheetId="19">'203-227'!$B$2:$N$34</definedName>
    <definedName name="_xlnm.Print_Area" localSheetId="18">'229-253'!$B$2:$N$33</definedName>
    <definedName name="_xlnm.Print_Area" localSheetId="17">'254-278'!$B$2:$N$33</definedName>
    <definedName name="_xlnm.Print_Area" localSheetId="16">'279-303'!$B$2:$N$33</definedName>
    <definedName name="_xlnm.Print_Area" localSheetId="15">'304-328'!$B$2:$N$33</definedName>
    <definedName name="_xlnm.Print_Area" localSheetId="14">'329-340'!$B$2:$N$33</definedName>
    <definedName name="_xlnm.Print_Area" localSheetId="13">'341-365'!$B$2:$N$33</definedName>
    <definedName name="_xlnm.Print_Area" localSheetId="12">'366-391'!$B$2:$N$34</definedName>
    <definedName name="_xlnm.Print_Area" localSheetId="11">'392-416'!$B$2:$N$33</definedName>
    <definedName name="_xlnm.Print_Area" localSheetId="10">'417-441'!$B$2:$N$33</definedName>
    <definedName name="_xlnm.Print_Area" localSheetId="9">'442-466'!$B$2:$N$33</definedName>
    <definedName name="_xlnm.Print_Area" localSheetId="8">'467-491'!$B$2:$N$33</definedName>
    <definedName name="_xlnm.Print_Area" localSheetId="7">'492-516'!$B$2:$N$33</definedName>
    <definedName name="_xlnm.Print_Area" localSheetId="6">'517-541'!$B$2:$N$33</definedName>
    <definedName name="_xlnm.Print_Area" localSheetId="5">'542-566'!$B$2:$N$33</definedName>
    <definedName name="_xlnm.Print_Area" localSheetId="4">'567-591'!$B$2:$N$33</definedName>
    <definedName name="_xlnm.Print_Area" localSheetId="3">'592-616'!$B$2:$N$33</definedName>
    <definedName name="_xlnm.Print_Area" localSheetId="2">'617-642'!$B$2:$N$34</definedName>
    <definedName name="_xlnm.Print_Area" localSheetId="1">'643-667'!$B$2:$N$35</definedName>
    <definedName name="_xlnm.Print_Area" localSheetId="0">'670-696'!$B$2:$N$35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3" i="25" l="1"/>
  <c r="G33" i="25" l="1"/>
  <c r="H16" i="24" l="1"/>
  <c r="G33" i="24" l="1"/>
  <c r="G32" i="23" l="1"/>
  <c r="G31" i="22" l="1"/>
  <c r="G31" i="21" l="1"/>
  <c r="G31" i="20" l="1"/>
  <c r="G31" i="19" l="1"/>
  <c r="G31" i="18" l="1"/>
  <c r="G31" i="17" l="1"/>
  <c r="G31" i="16" l="1"/>
  <c r="G31" i="15" l="1"/>
  <c r="G31" i="14" l="1"/>
  <c r="G32" i="13" l="1"/>
  <c r="H7" i="12" l="1"/>
  <c r="G31" i="12" l="1"/>
  <c r="G31" i="11"/>
  <c r="G31" i="10" l="1"/>
  <c r="G31" i="9" l="1"/>
  <c r="G31" i="8" l="1"/>
  <c r="G32" i="6" l="1"/>
  <c r="G31" i="7" l="1"/>
  <c r="G31" i="5" l="1"/>
  <c r="G31" i="4" l="1"/>
  <c r="G31" i="3"/>
  <c r="G31" i="2" l="1"/>
  <c r="G31" i="1" l="1"/>
</calcChain>
</file>

<file path=xl/sharedStrings.xml><?xml version="1.0" encoding="utf-8"?>
<sst xmlns="http://schemas.openxmlformats.org/spreadsheetml/2006/main" count="1092" uniqueCount="413">
  <si>
    <t xml:space="preserve">از تاریخ: </t>
  </si>
  <si>
    <t xml:space="preserve">تا تاریخ: </t>
  </si>
  <si>
    <t xml:space="preserve">نام تنخواه گردان: </t>
  </si>
  <si>
    <t>موجودی تنخواه:</t>
  </si>
  <si>
    <t xml:space="preserve">پیوست: </t>
  </si>
  <si>
    <t xml:space="preserve">شماره سند: </t>
  </si>
  <si>
    <t>ردیف</t>
  </si>
  <si>
    <t>تاریخ</t>
  </si>
  <si>
    <t>شرح پرداخت</t>
  </si>
  <si>
    <t>مبلغ (ریال)</t>
  </si>
  <si>
    <t>شماره فاکتور</t>
  </si>
  <si>
    <t>توضیحات</t>
  </si>
  <si>
    <t>جمع هزینه ها (ریال)</t>
  </si>
  <si>
    <t>مانده موجودی تنخواه (ریال)</t>
  </si>
  <si>
    <t>نام و امضای تنخواه گردان:</t>
  </si>
  <si>
    <t>نام و امضای کنترل کننده:</t>
  </si>
  <si>
    <t>نام و امضای تایید کننده:</t>
  </si>
  <si>
    <t>نام و امضای مدیرعامل:</t>
  </si>
  <si>
    <r>
      <rPr>
        <b/>
        <sz val="16"/>
        <color theme="1"/>
        <rFont val="B Nazanin"/>
        <charset val="178"/>
      </rPr>
      <t>فرم تنخواه گردان</t>
    </r>
    <r>
      <rPr>
        <sz val="16"/>
        <color theme="1"/>
        <rFont val="B Nazanin"/>
        <charset val="178"/>
      </rPr>
      <t xml:space="preserve">
</t>
    </r>
    <r>
      <rPr>
        <b/>
        <sz val="16"/>
        <color theme="1"/>
        <rFont val="B Nazanin"/>
        <charset val="178"/>
      </rPr>
      <t xml:space="preserve">پروژه: </t>
    </r>
  </si>
  <si>
    <t>کمربند-درپوش</t>
  </si>
  <si>
    <t>اسپری-فازمتر</t>
  </si>
  <si>
    <t>ضایعات مرغ</t>
  </si>
  <si>
    <t>چای-قند</t>
  </si>
  <si>
    <t>سیم نایلونی-لامپ-پاتروم</t>
  </si>
  <si>
    <t>گردن ضایعات</t>
  </si>
  <si>
    <t>بخاری-لوله-سرامیک بر-سیفون</t>
  </si>
  <si>
    <t>اجاره کمپکتور</t>
  </si>
  <si>
    <t>جارو-تیغ کاته-تی-تینر-پیچ سرمته</t>
  </si>
  <si>
    <t>فلاکس</t>
  </si>
  <si>
    <t>اسکلت گردن</t>
  </si>
  <si>
    <t>سراه-بلبرینگ-چتایی</t>
  </si>
  <si>
    <t>ماله</t>
  </si>
  <si>
    <t>خرید ضدیخ</t>
  </si>
  <si>
    <t>کرایه پیک موتوری</t>
  </si>
  <si>
    <t>میخ-چاشنی</t>
  </si>
  <si>
    <t>گرانیت بر-تیغ کاتر-چسب-سرمته-مته الماسه</t>
  </si>
  <si>
    <t>گل کاشی</t>
  </si>
  <si>
    <t>چسپ پی وی سی</t>
  </si>
  <si>
    <t>بیل ایرانی</t>
  </si>
  <si>
    <t>چسب</t>
  </si>
  <si>
    <t>قلم هلتی</t>
  </si>
  <si>
    <t>بنزین</t>
  </si>
  <si>
    <t>گازوئیل</t>
  </si>
  <si>
    <t>کرایه لوله</t>
  </si>
  <si>
    <t>کرایه لوازم</t>
  </si>
  <si>
    <t>کرایه لوازم برق</t>
  </si>
  <si>
    <t>کرایه جرثقیل برای حمل لوله دودکش و موتور خانه</t>
  </si>
  <si>
    <t>جابه جایی علمک گاز</t>
  </si>
  <si>
    <t>قبض گاز</t>
  </si>
  <si>
    <t>شیرینی</t>
  </si>
  <si>
    <t>کرایه تاکسی کارگرها</t>
  </si>
  <si>
    <t>صفحه گرانیت بر</t>
  </si>
  <si>
    <t>قند</t>
  </si>
  <si>
    <t>لوله-زانو-کمربند-رابط-...</t>
  </si>
  <si>
    <t>رنگ الوان-بتونه-تور-اکناف-</t>
  </si>
  <si>
    <t>کرایه حمل رنگ</t>
  </si>
  <si>
    <t>لوله پلی اتیلن</t>
  </si>
  <si>
    <t>رابط نری-</t>
  </si>
  <si>
    <t>چرخ گاری</t>
  </si>
  <si>
    <t>غذا</t>
  </si>
  <si>
    <t>ریسمون کار-پروفیل-</t>
  </si>
  <si>
    <t>رابیتس -چسب 123</t>
  </si>
  <si>
    <t>کمپرسور</t>
  </si>
  <si>
    <t>کرایه کابل</t>
  </si>
  <si>
    <t>کرایه غلاف برق</t>
  </si>
  <si>
    <t>کرایه حمل کمد</t>
  </si>
  <si>
    <t>رگولاتور بوتان</t>
  </si>
  <si>
    <t>مایع ظرف شویی</t>
  </si>
  <si>
    <t>لوله</t>
  </si>
  <si>
    <t>رابط مساوی 32</t>
  </si>
  <si>
    <t>اسکوپ</t>
  </si>
  <si>
    <t>کرایه بار عایق</t>
  </si>
  <si>
    <t>کرایه جرثقیل</t>
  </si>
  <si>
    <t>کرایه دو سرویس عایق و لوله</t>
  </si>
  <si>
    <t>کرایه لوازم و ابزار</t>
  </si>
  <si>
    <t>کاشی کار رضا-علی الحساب</t>
  </si>
  <si>
    <t>کرایه جرثقیل جابجایی تابلو برق</t>
  </si>
  <si>
    <t>خرید سرنازل جوش آرگون و....</t>
  </si>
  <si>
    <t>کرایه عایق پشم</t>
  </si>
  <si>
    <t>تیغ کاتر-صفحه پروفیل بر و...</t>
  </si>
  <si>
    <t>کرایه کلاف چوبی</t>
  </si>
  <si>
    <t>کرایه برگشت کلاف چوبی</t>
  </si>
  <si>
    <t>کرایه موتور</t>
  </si>
  <si>
    <t>باسکول</t>
  </si>
  <si>
    <t>صفحه استیل بر بزرگ-سیم جوش و ...</t>
  </si>
  <si>
    <t>کرایه دو سرویس لوله و اتصالات</t>
  </si>
  <si>
    <t>کرایه بار</t>
  </si>
  <si>
    <t>کرایه نیسان آجر نما</t>
  </si>
  <si>
    <t>مته الماسه</t>
  </si>
  <si>
    <t>کرایه لرزه گیر</t>
  </si>
  <si>
    <t>کرایه لوازم و تاسیسات</t>
  </si>
  <si>
    <t>رابیتس و ...</t>
  </si>
  <si>
    <t>نوار کنج آلومینیوم</t>
  </si>
  <si>
    <t>نوار کناف وال</t>
  </si>
  <si>
    <t>ضد زنگ نارنجی و زرد تابش حلب</t>
  </si>
  <si>
    <t>آب معدنی</t>
  </si>
  <si>
    <t>رول پلاک-رج چوب-رنگ</t>
  </si>
  <si>
    <t>قبض تلفن</t>
  </si>
  <si>
    <t>بیسیم</t>
  </si>
  <si>
    <t>لوازم تحریر</t>
  </si>
  <si>
    <t>لوازم صبحانه</t>
  </si>
  <si>
    <t>خریدهای پور علی</t>
  </si>
  <si>
    <t>کرایه سرویس برج 11 پور علی</t>
  </si>
  <si>
    <t>کرایه سرویس برج 9 پور علی</t>
  </si>
  <si>
    <t>کرایه سرویس برج 10 پور علی</t>
  </si>
  <si>
    <t>کرایه تابلو برق</t>
  </si>
  <si>
    <t>چتایی</t>
  </si>
  <si>
    <t>خریدهای حسن زاده</t>
  </si>
  <si>
    <t>خرید حسن زاده</t>
  </si>
  <si>
    <t>کرایه استراکچر کناف</t>
  </si>
  <si>
    <t>کرایه لوازم برقی</t>
  </si>
  <si>
    <t>کرایه لوازم کناف</t>
  </si>
  <si>
    <t>کرایه کناف گچ برگ</t>
  </si>
  <si>
    <t>کرایه دوم گچ برگ</t>
  </si>
  <si>
    <t>کرایه تابلو برقها</t>
  </si>
  <si>
    <t>کرایه کلاف چوبی 13 عدد</t>
  </si>
  <si>
    <t>نبیشی آلومینیوم طلایی</t>
  </si>
  <si>
    <t>علی الحساب نقاش حشمتی</t>
  </si>
  <si>
    <t>تسویه کارکرد بیل بکهو</t>
  </si>
  <si>
    <t>علی الحساب کاشی کار حسینی</t>
  </si>
  <si>
    <t>فاکتور اقلام برق زارعان</t>
  </si>
  <si>
    <t>پیچ سرمته- شاقول-مته</t>
  </si>
  <si>
    <t>کمپکتور</t>
  </si>
  <si>
    <t>مته</t>
  </si>
  <si>
    <t>مهره-واشرتخت-انکر بولت-میل رزوه</t>
  </si>
  <si>
    <t>کرایه شیرآلات</t>
  </si>
  <si>
    <t>کرایه کاشی</t>
  </si>
  <si>
    <t>مته-میخ</t>
  </si>
  <si>
    <t>باکس خاک و نخاله</t>
  </si>
  <si>
    <t>اره دستی</t>
  </si>
  <si>
    <t>پیچ بکسی</t>
  </si>
  <si>
    <t>مشعل و رگلاتور</t>
  </si>
  <si>
    <t>اسکلت و گردن</t>
  </si>
  <si>
    <t>قند-چای-سن ایچ-شکلات</t>
  </si>
  <si>
    <t>کرایه دو سرویس اتصالات تاسیسات</t>
  </si>
  <si>
    <t>کرایه آجر</t>
  </si>
  <si>
    <t>سیم جوش-دستکش-انبر جوش- ...</t>
  </si>
  <si>
    <t>ال تی رونیکس</t>
  </si>
  <si>
    <t>چسب چوب</t>
  </si>
  <si>
    <t>پول کپسول</t>
  </si>
  <si>
    <t>دو شاخ</t>
  </si>
  <si>
    <t>حلال آب الوان-الوان روغنی</t>
  </si>
  <si>
    <t>لوله 90-لوله 63</t>
  </si>
  <si>
    <t>لوازم نقاش</t>
  </si>
  <si>
    <t>کرایه اتصالات</t>
  </si>
  <si>
    <t>کرایه نیسان بار لوله</t>
  </si>
  <si>
    <t>دستکش-فرچه سیمی-گونی</t>
  </si>
  <si>
    <t>قیر حلبی</t>
  </si>
  <si>
    <t>لوازم نجاری</t>
  </si>
  <si>
    <t>سیم ظرف شویی-سنگ توالت</t>
  </si>
  <si>
    <t>توری کناف</t>
  </si>
  <si>
    <t>رابیتس</t>
  </si>
  <si>
    <t>چتایی-...</t>
  </si>
  <si>
    <t>نوار خطر</t>
  </si>
  <si>
    <t>آشغال گوشت</t>
  </si>
  <si>
    <t>قند و چای</t>
  </si>
  <si>
    <t>تیغ و چرتکه سیمی</t>
  </si>
  <si>
    <t>حلب قیر</t>
  </si>
  <si>
    <t>پیچ سرمته</t>
  </si>
  <si>
    <t>کرایه دو سرویس اتصالات</t>
  </si>
  <si>
    <t>مایع رنگ</t>
  </si>
  <si>
    <t>رینگ فابریک-فلنچ</t>
  </si>
  <si>
    <t>صفحه پروفیل بر-...</t>
  </si>
  <si>
    <t>تسویه حساب کاشیکار حسینی</t>
  </si>
  <si>
    <t>ناهار راننده توماس</t>
  </si>
  <si>
    <t>غذای سگ</t>
  </si>
  <si>
    <t>ناهار جرثیل و تیم اجرایی 10 نفر</t>
  </si>
  <si>
    <t xml:space="preserve">لوله پی وی سی </t>
  </si>
  <si>
    <t>پیچ و مهره</t>
  </si>
  <si>
    <t>کرایه آجر نما</t>
  </si>
  <si>
    <t>کرایه پودر بندکشی</t>
  </si>
  <si>
    <t>محافظ</t>
  </si>
  <si>
    <t>بست-کفش کار</t>
  </si>
  <si>
    <t>شرکت گاز</t>
  </si>
  <si>
    <t>ساندویچ</t>
  </si>
  <si>
    <t>خرید کاشی</t>
  </si>
  <si>
    <t>صبحانه</t>
  </si>
  <si>
    <t>گاز</t>
  </si>
  <si>
    <t>دفتر پیشخوان</t>
  </si>
  <si>
    <t>نقشه برداری</t>
  </si>
  <si>
    <t>خرید خاک 14 سرویس</t>
  </si>
  <si>
    <t>کرایه دو سرویس سوپر پکس</t>
  </si>
  <si>
    <t>کرایه کناف</t>
  </si>
  <si>
    <t>فاکتور اجرای قرنیز</t>
  </si>
  <si>
    <t>واترجت کاشی</t>
  </si>
  <si>
    <t>خرید نردبان</t>
  </si>
  <si>
    <t>تسویه کاشیکار نوروزی</t>
  </si>
  <si>
    <t>پودر بندکشی</t>
  </si>
  <si>
    <t xml:space="preserve">صفحه برش </t>
  </si>
  <si>
    <t>جارو و تی</t>
  </si>
  <si>
    <t>خرید ابزار</t>
  </si>
  <si>
    <t>کپسول گاز</t>
  </si>
  <si>
    <t>چسب 1.2.3</t>
  </si>
  <si>
    <t>جارو 40 سانتی</t>
  </si>
  <si>
    <t>گرانیت بر</t>
  </si>
  <si>
    <t>غلط گیر</t>
  </si>
  <si>
    <t>باطری</t>
  </si>
  <si>
    <t>قند وچای</t>
  </si>
  <si>
    <t>کرایه حمل اتصالات</t>
  </si>
  <si>
    <t>کانال ساز</t>
  </si>
  <si>
    <t>کرایه عایق</t>
  </si>
  <si>
    <t>کرایه وال هنگ</t>
  </si>
  <si>
    <t>کرایه غلطک</t>
  </si>
  <si>
    <t>کرایه سرامیک سه سرویس</t>
  </si>
  <si>
    <t>بست</t>
  </si>
  <si>
    <t>شلنگ کولر-متر-...</t>
  </si>
  <si>
    <t>قلم-...</t>
  </si>
  <si>
    <t>قلم-ریسمون کار-...</t>
  </si>
  <si>
    <t>بوکس سرمته</t>
  </si>
  <si>
    <t>استیل بر</t>
  </si>
  <si>
    <t>سری پمپ باد</t>
  </si>
  <si>
    <t>فاکتور</t>
  </si>
  <si>
    <t>چسب- تیغ کاتر</t>
  </si>
  <si>
    <t>شیر برنجی-زانو-ابر</t>
  </si>
  <si>
    <t>کرپی بالابر</t>
  </si>
  <si>
    <t>زغال-...</t>
  </si>
  <si>
    <t>قفل-زغال-...</t>
  </si>
  <si>
    <t>سر سیم</t>
  </si>
  <si>
    <t>واتر جت سرامیک</t>
  </si>
  <si>
    <t>33 سرویس یحیی نوروزی</t>
  </si>
  <si>
    <t>کرایه سینی کابل</t>
  </si>
  <si>
    <t>کرایه ورق</t>
  </si>
  <si>
    <t>پیچ-رولپلات</t>
  </si>
  <si>
    <t>خرید 9 عدد فیتینگ با اجرت نصب</t>
  </si>
  <si>
    <t>خرید دستگیره درها</t>
  </si>
  <si>
    <t>تراز-شاقول-کاتر</t>
  </si>
  <si>
    <t>چسب قوطی-...</t>
  </si>
  <si>
    <t>چاپ بنر</t>
  </si>
  <si>
    <t>ماله-گرانیت بر-...</t>
  </si>
  <si>
    <t>16/02/1402</t>
  </si>
  <si>
    <t>پیچ سر مته</t>
  </si>
  <si>
    <t>25/02/1402</t>
  </si>
  <si>
    <t>هزینه درمان</t>
  </si>
  <si>
    <t>خرید واشر</t>
  </si>
  <si>
    <t>19//02/1402</t>
  </si>
  <si>
    <t>ضربه گیر</t>
  </si>
  <si>
    <t>اسپری رنگ</t>
  </si>
  <si>
    <t>24/02/1402</t>
  </si>
  <si>
    <t>خرید تایل بتنی</t>
  </si>
  <si>
    <t xml:space="preserve"> ریال17645840</t>
  </si>
  <si>
    <t>علل حساب پرداختی</t>
  </si>
  <si>
    <t>تیوب فرغون-چوتکه-جوهر نمک</t>
  </si>
  <si>
    <t>کرایه</t>
  </si>
  <si>
    <t>کرایه ورق کامپوزیت</t>
  </si>
  <si>
    <t>الک</t>
  </si>
  <si>
    <t>اسپری رنگ-چسب آکواریم</t>
  </si>
  <si>
    <t>دوشاخ صنعتی-اخرا</t>
  </si>
  <si>
    <t>خرید اسکاچ</t>
  </si>
  <si>
    <t>کرایه برق</t>
  </si>
  <si>
    <t>سیم جوش-صفحه استیل بر-...</t>
  </si>
  <si>
    <t>پیک لوازم تاسیسات</t>
  </si>
  <si>
    <t>عایق نانو ضد آب</t>
  </si>
  <si>
    <t>کرایه ماله پروانه ای</t>
  </si>
  <si>
    <t>کرایه حمل آجر نما</t>
  </si>
  <si>
    <t>کرایه پیک</t>
  </si>
  <si>
    <t>کرایه برج 2 حسین رجب پور</t>
  </si>
  <si>
    <t>کرایه برج 2 یحیی نوروزی</t>
  </si>
  <si>
    <t>بلبرینگ</t>
  </si>
  <si>
    <t>مته الماسه-بست-دستکش</t>
  </si>
  <si>
    <t xml:space="preserve">مته  </t>
  </si>
  <si>
    <t>ریسمان-مته-میخ-چسب</t>
  </si>
  <si>
    <t>اسپری رنگ-تیغ</t>
  </si>
  <si>
    <t>کرایه سرویس آجر</t>
  </si>
  <si>
    <t>کرایه حمل چراغ</t>
  </si>
  <si>
    <t>کرایه باکس نخاله</t>
  </si>
  <si>
    <t>خرید سرامیک</t>
  </si>
  <si>
    <t>کفشور</t>
  </si>
  <si>
    <t>چاپ رنگی</t>
  </si>
  <si>
    <t>ماسوره</t>
  </si>
  <si>
    <t>مته-…</t>
  </si>
  <si>
    <t>سرچهار سو-دوشاخ صنعتی</t>
  </si>
  <si>
    <t>ابر-پنبه-اسکاچ</t>
  </si>
  <si>
    <t>دوده مشکی</t>
  </si>
  <si>
    <t>سند بلاست تانکر</t>
  </si>
  <si>
    <t>جرثقیل جا به جایی تانکرها</t>
  </si>
  <si>
    <t>رزین جلا</t>
  </si>
  <si>
    <t>علی الحساب کرایه برج 3 حسین رجب پور</t>
  </si>
  <si>
    <t>کرایه حمل جدول با جرثقیل</t>
  </si>
  <si>
    <t>کرایه کابل برق</t>
  </si>
  <si>
    <t>کرایه جلا</t>
  </si>
  <si>
    <t>قند-چای</t>
  </si>
  <si>
    <t>روغن سوخته</t>
  </si>
  <si>
    <t>کرایه اسنپ کارکنان</t>
  </si>
  <si>
    <t>تینر روغنی-تینر فوری-چتکه-سه راه</t>
  </si>
  <si>
    <t>شربت سن ایچ-آب معدنی</t>
  </si>
  <si>
    <t>اجاره دو عدد ویبره بتن با شلنگ</t>
  </si>
  <si>
    <t>کمربند63-شیر هوا</t>
  </si>
  <si>
    <t>تی لاستیکی-سیم جوش-...</t>
  </si>
  <si>
    <t>شیر خودکار 3 دریچه ای</t>
  </si>
  <si>
    <t>تیغ کاتر-میخ کفش</t>
  </si>
  <si>
    <t>تیغ کاتر-چتکه سیمی</t>
  </si>
  <si>
    <t>جوهر نمک دو لیتری</t>
  </si>
  <si>
    <t>لامپ-باتری</t>
  </si>
  <si>
    <t>حق الزحمه نقشه بردار</t>
  </si>
  <si>
    <t>کرایه دو سرویس میز و کمد</t>
  </si>
  <si>
    <t>کرایه حمل تخته</t>
  </si>
  <si>
    <t>کرایه حمل کناف</t>
  </si>
  <si>
    <t>دستگیره-سیلندر-قفل سویچی</t>
  </si>
  <si>
    <t>کرایه حمل سرامیک</t>
  </si>
  <si>
    <t>اجاره هیلتی</t>
  </si>
  <si>
    <t>کاشت بولت-خرید صفحه-کرایه پیک</t>
  </si>
  <si>
    <t>کرایه شابلون</t>
  </si>
  <si>
    <t>تیغ کاتر-دو شاخ-رابط مساوی-...</t>
  </si>
  <si>
    <t>کرایه بار اتصالات</t>
  </si>
  <si>
    <t>کرایه نردبان کابل برق</t>
  </si>
  <si>
    <t>فیلتر</t>
  </si>
  <si>
    <t>شارژر-باتری شارژی</t>
  </si>
  <si>
    <t>کرایه زه و غلاف چوبی</t>
  </si>
  <si>
    <t>کرایه دو سرویس موزاییک</t>
  </si>
  <si>
    <t>ایزوگام شرق-حلب قیر-کرایه</t>
  </si>
  <si>
    <t>سوکت 63</t>
  </si>
  <si>
    <t>کرایه نبشی</t>
  </si>
  <si>
    <t>چسب123-طناب پلاستیکی</t>
  </si>
  <si>
    <t>لوازم برقی</t>
  </si>
  <si>
    <t>روغن سوخته قالب</t>
  </si>
  <si>
    <t>بیل بکو</t>
  </si>
  <si>
    <t>کرایه سه راه موتوری</t>
  </si>
  <si>
    <t>کرایه رانر و استاد کناف</t>
  </si>
  <si>
    <t>کرایه دو سرویس تاسیسات</t>
  </si>
  <si>
    <t>کمبرند63-سه راه هی ماده 63</t>
  </si>
  <si>
    <t>ناهارجوشکار</t>
  </si>
  <si>
    <t>سه راه64</t>
  </si>
  <si>
    <t>نوار تفلون</t>
  </si>
  <si>
    <t>اب معدنی</t>
  </si>
  <si>
    <t>هزینه باسکول</t>
  </si>
  <si>
    <t xml:space="preserve">کرایه حمل جرثقیل آهن آلات </t>
  </si>
  <si>
    <t>کرایه حمل پنجره ها</t>
  </si>
  <si>
    <t>کرایه حمل کفشور</t>
  </si>
  <si>
    <t>کرایه پودر بند کشی</t>
  </si>
  <si>
    <t>ضد زنگ-فازمتر-دستکش</t>
  </si>
  <si>
    <t xml:space="preserve">ضد زنگ </t>
  </si>
  <si>
    <t>سیم آلماتور-قلم هلتی-پلاستیک</t>
  </si>
  <si>
    <t>کرایه بار پیک موتوری</t>
  </si>
  <si>
    <t>کرایه پروفیل آهن</t>
  </si>
  <si>
    <t>کرایه حمل لوازم تاسیسات</t>
  </si>
  <si>
    <t>جارو سیخی</t>
  </si>
  <si>
    <t>کرایه اسپیسر</t>
  </si>
  <si>
    <t>دستمال تنظیف-نوار خطر</t>
  </si>
  <si>
    <t>صفحه استیل بر-ابر</t>
  </si>
  <si>
    <t>کرایه دوم ورق کامپوزیت</t>
  </si>
  <si>
    <t>علی الحساب حشمتی</t>
  </si>
  <si>
    <t>کرایه لوازم تاسیسات</t>
  </si>
  <si>
    <t>لولا 28-لولا 32</t>
  </si>
  <si>
    <t>سنگ صاب</t>
  </si>
  <si>
    <t>کرایه کم در چوبی</t>
  </si>
  <si>
    <t>کرایه عایق الاستومتری</t>
  </si>
  <si>
    <t>لیفتراک</t>
  </si>
  <si>
    <t>کرایه لوله خرطومی</t>
  </si>
  <si>
    <t>کرایه کابلهای برق</t>
  </si>
  <si>
    <t>کرایه زانو و اتصالات تاسیسات</t>
  </si>
  <si>
    <t>چسب آکواریوم-چسب سنگ</t>
  </si>
  <si>
    <t>خرید مته</t>
  </si>
  <si>
    <t>چسب دو طرقه</t>
  </si>
  <si>
    <t>کرایه سازه کناف</t>
  </si>
  <si>
    <t>کرایه دو سرویس لوازم</t>
  </si>
  <si>
    <t>خرید ایزوگام و قیر</t>
  </si>
  <si>
    <t>سیم جوش-چسب پمادی-پروفیل بر</t>
  </si>
  <si>
    <t>قیر گونی</t>
  </si>
  <si>
    <t>رنگ روغنی زرد</t>
  </si>
  <si>
    <t>رابط 63</t>
  </si>
  <si>
    <t>کرایه دو سرویس سنگ جوب</t>
  </si>
  <si>
    <t>کرایه سازه های کناف</t>
  </si>
  <si>
    <t>تسویه حساب وال پست اتاق منابع آب</t>
  </si>
  <si>
    <t>خرید آب آشامیدنی تانکر 10 هزار لیتری</t>
  </si>
  <si>
    <t>کیسه قیری-ماله</t>
  </si>
  <si>
    <t>کیسه قیری</t>
  </si>
  <si>
    <t>انعام راننده توماس</t>
  </si>
  <si>
    <t>کرایه سنگ جوب</t>
  </si>
  <si>
    <t>پارچه نظافت-دستکش</t>
  </si>
  <si>
    <t>سیم جوش-دستکش-...</t>
  </si>
  <si>
    <t>نری6-شیر6-درپوش</t>
  </si>
  <si>
    <t>شیلنگ-بست</t>
  </si>
  <si>
    <t>مادگی2-سرشلنگی2</t>
  </si>
  <si>
    <t>خرید آب شرب 10 هزاری</t>
  </si>
  <si>
    <t>کرایه جت فن</t>
  </si>
  <si>
    <t>کرایه سرویس برج 4 حسین رجب پور</t>
  </si>
  <si>
    <t>چسب کاغذی-شیشه ماسک</t>
  </si>
  <si>
    <t>کرایه سرویس برج 4 یحیی</t>
  </si>
  <si>
    <t>خرید آب 10 هزاری</t>
  </si>
  <si>
    <t>صفحه فارسی بر</t>
  </si>
  <si>
    <t>سوکت 125</t>
  </si>
  <si>
    <t>هزینه بیمارستان روح الله تیموری</t>
  </si>
  <si>
    <t>-</t>
  </si>
  <si>
    <t>صفحه ساب</t>
  </si>
  <si>
    <t>فاکتور رنگ</t>
  </si>
  <si>
    <t>کرایه سنگ</t>
  </si>
  <si>
    <t>کرایه دو سرویس شیشه و پنجره</t>
  </si>
  <si>
    <t>چسب سنگ</t>
  </si>
  <si>
    <t>رزین سنگ-قلم رنگ</t>
  </si>
  <si>
    <t>رابیتس-چتایی-رنگ مشکی</t>
  </si>
  <si>
    <t>لوله32-لوله20-رابط مساوی 20</t>
  </si>
  <si>
    <t>بلبرینگ-میله فرغون-تینر</t>
  </si>
  <si>
    <t>لوله 2-مادگی-زانو-...</t>
  </si>
  <si>
    <t>اجاره کارواش</t>
  </si>
  <si>
    <t>لوله-رابط-نری</t>
  </si>
  <si>
    <t>چسب پهن</t>
  </si>
  <si>
    <t>بست کمربندی-دستکش-عینک جوشکاری</t>
  </si>
  <si>
    <t>کرایه حمل پمپ</t>
  </si>
  <si>
    <t>کرایه حمل سنگ</t>
  </si>
  <si>
    <t>کرایه حمل قرنیز</t>
  </si>
  <si>
    <t>خرید سه سرویس آب</t>
  </si>
  <si>
    <t>خرید نمونه چراغ دیواری</t>
  </si>
  <si>
    <t xml:space="preserve">کرایه حمل چراغ </t>
  </si>
  <si>
    <t>رزین سنگ-قلمو</t>
  </si>
  <si>
    <t>ساخت و نصب و حمل ورق فن کوئل</t>
  </si>
  <si>
    <t>طی آب جمع کن</t>
  </si>
  <si>
    <t>آب منطقه ای</t>
  </si>
  <si>
    <t>صفحه ساب بزرگ و کوچک</t>
  </si>
  <si>
    <t>سیم جوش-کاشی بر-...</t>
  </si>
  <si>
    <t>خرید آب</t>
  </si>
  <si>
    <t>علی الحساب جواد جانی</t>
  </si>
  <si>
    <t>قیچی - کمان اره</t>
  </si>
  <si>
    <t>تیغ-انبر-عینک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</si>
</sst>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960429]dd/mm/yyyy;@"/>
  </numFmts>
  <fonts count="8" x14ac:knownFonts="1">
    <font>
      <sz val="11"/>
      <color theme="1"/>
      <name val="Arial"/>
      <family val="2"/>
      <scheme val="minor"/>
    </font>
    <font>
      <b/>
      <sz val="12"/>
      <color theme="1"/>
      <name val="B Nazanin"/>
      <charset val="178"/>
    </font>
    <font>
      <sz val="12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Arial"/>
      <family val="2"/>
      <scheme val="minor"/>
    </font>
    <font>
      <sz val="14"/>
      <color theme="1"/>
      <name val="0 Badr Bold"/>
      <charset val="178"/>
    </font>
    <font>
      <sz val="16"/>
      <color theme="1"/>
      <name val="B Nazanin"/>
      <charset val="178"/>
    </font>
    <font>
      <b/>
      <sz val="16"/>
      <color theme="1"/>
      <name val="B Nazanin"/>
      <charset val="178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28">
    <xf numFmtId="0" fontId="0" fillId="0" borderId="0" xfId="0"/>
    <xf numFmtId="0" fontId="0" fillId="0" borderId="0" xfId="0" applyAlignment="1">
      <alignment vertical="center"/>
    </xf>
    <xf numFmtId="0" fontId="1" fillId="2" borderId="5" xfId="0" applyFont="1" applyFill="1" applyBorder="1" applyAlignment="1">
      <alignment horizontal="right"/>
    </xf>
    <xf numFmtId="0" fontId="4" fillId="0" borderId="1" xfId="0" applyFont="1" applyBorder="1" applyAlignment="1">
      <alignment horizontal="center" vertical="center"/>
    </xf>
    <xf numFmtId="3" fontId="4" fillId="0" borderId="1" xfId="0" applyNumberFormat="1" applyFont="1" applyBorder="1" applyAlignment="1">
      <alignment horizontal="center"/>
    </xf>
    <xf numFmtId="3" fontId="4" fillId="0" borderId="3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3" fillId="2" borderId="4" xfId="0" applyFont="1" applyFill="1" applyBorder="1" applyAlignment="1">
      <alignment horizontal="right" indent="1"/>
    </xf>
    <xf numFmtId="0" fontId="3" fillId="2" borderId="4" xfId="0" applyFont="1" applyFill="1" applyBorder="1" applyAlignment="1">
      <alignment horizontal="right" vertical="center" indent="1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right" indent="1"/>
    </xf>
    <xf numFmtId="0" fontId="3" fillId="2" borderId="4" xfId="0" applyFont="1" applyFill="1" applyBorder="1" applyAlignment="1">
      <alignment horizontal="right" indent="1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right" indent="1"/>
    </xf>
    <xf numFmtId="0" fontId="4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3" fillId="2" borderId="4" xfId="0" applyFont="1" applyFill="1" applyBorder="1" applyAlignment="1">
      <alignment horizontal="right" indent="1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right" indent="1"/>
    </xf>
    <xf numFmtId="0" fontId="0" fillId="0" borderId="0" xfId="0" applyAlignment="1"/>
    <xf numFmtId="0" fontId="4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3" fillId="2" borderId="4" xfId="0" applyFont="1" applyFill="1" applyBorder="1" applyAlignment="1">
      <alignment horizontal="right" indent="1"/>
    </xf>
    <xf numFmtId="0" fontId="3" fillId="2" borderId="4" xfId="0" applyFont="1" applyFill="1" applyBorder="1" applyAlignment="1">
      <alignment horizontal="right" indent="1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3" fillId="2" borderId="4" xfId="0" applyFont="1" applyFill="1" applyBorder="1" applyAlignment="1">
      <alignment horizontal="right" indent="1"/>
    </xf>
    <xf numFmtId="0" fontId="3" fillId="2" borderId="4" xfId="0" applyFont="1" applyFill="1" applyBorder="1" applyAlignment="1">
      <alignment horizontal="right" indent="1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3" fillId="2" borderId="4" xfId="0" applyFont="1" applyFill="1" applyBorder="1" applyAlignment="1">
      <alignment horizontal="right" indent="1"/>
    </xf>
    <xf numFmtId="3" fontId="4" fillId="3" borderId="1" xfId="0" applyNumberFormat="1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right" indent="1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right" indent="1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right" indent="1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right" indent="1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right" indent="1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right" indent="1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right" indent="1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right" indent="1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right" indent="1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right" indent="1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right" indent="1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right" indent="1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right" indent="1"/>
    </xf>
    <xf numFmtId="0" fontId="2" fillId="2" borderId="1" xfId="0" applyFont="1" applyFill="1" applyBorder="1" applyAlignment="1">
      <alignment horizontal="center" vertical="top" wrapText="1"/>
    </xf>
    <xf numFmtId="0" fontId="6" fillId="2" borderId="1" xfId="0" applyFont="1" applyFill="1" applyBorder="1" applyAlignment="1">
      <alignment horizontal="center" vertical="top" wrapText="1"/>
    </xf>
    <xf numFmtId="0" fontId="3" fillId="2" borderId="6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indent="1"/>
    </xf>
    <xf numFmtId="0" fontId="3" fillId="2" borderId="4" xfId="0" applyFont="1" applyFill="1" applyBorder="1" applyAlignment="1">
      <alignment horizontal="right" indent="1"/>
    </xf>
    <xf numFmtId="0" fontId="3" fillId="2" borderId="1" xfId="0" applyFont="1" applyFill="1" applyBorder="1" applyAlignment="1">
      <alignment horizontal="center"/>
    </xf>
    <xf numFmtId="164" fontId="5" fillId="0" borderId="4" xfId="0" applyNumberFormat="1" applyFont="1" applyBorder="1" applyAlignment="1">
      <alignment horizontal="center" vertical="center" readingOrder="2"/>
    </xf>
    <xf numFmtId="164" fontId="5" fillId="0" borderId="6" xfId="0" applyNumberFormat="1" applyFont="1" applyBorder="1" applyAlignment="1">
      <alignment horizontal="center" vertical="center" readingOrder="2"/>
    </xf>
    <xf numFmtId="164" fontId="5" fillId="0" borderId="5" xfId="0" applyNumberFormat="1" applyFont="1" applyBorder="1" applyAlignment="1">
      <alignment horizontal="center" vertical="center" readingOrder="2"/>
    </xf>
    <xf numFmtId="0" fontId="4" fillId="0" borderId="1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top"/>
    </xf>
    <xf numFmtId="0" fontId="4" fillId="0" borderId="2" xfId="0" applyFont="1" applyBorder="1" applyAlignment="1">
      <alignment horizontal="center" vertical="center"/>
    </xf>
    <xf numFmtId="3" fontId="4" fillId="0" borderId="7" xfId="0" applyNumberFormat="1" applyFont="1" applyBorder="1" applyAlignment="1">
      <alignment horizontal="center" vertical="center"/>
    </xf>
    <xf numFmtId="3" fontId="4" fillId="0" borderId="8" xfId="0" applyNumberFormat="1" applyFont="1" applyBorder="1" applyAlignment="1">
      <alignment horizontal="center" vertical="center"/>
    </xf>
    <xf numFmtId="3" fontId="4" fillId="0" borderId="9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3" fontId="4" fillId="0" borderId="4" xfId="0" applyNumberFormat="1" applyFont="1" applyBorder="1" applyAlignment="1">
      <alignment horizontal="center" vertical="center"/>
    </xf>
    <xf numFmtId="3" fontId="4" fillId="0" borderId="6" xfId="0" applyNumberFormat="1" applyFont="1" applyBorder="1" applyAlignment="1">
      <alignment horizontal="center" vertical="center"/>
    </xf>
    <xf numFmtId="3" fontId="4" fillId="0" borderId="5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164" fontId="5" fillId="3" borderId="4" xfId="0" applyNumberFormat="1" applyFont="1" applyFill="1" applyBorder="1" applyAlignment="1">
      <alignment horizontal="center" vertical="center" readingOrder="2"/>
    </xf>
    <xf numFmtId="164" fontId="5" fillId="3" borderId="6" xfId="0" applyNumberFormat="1" applyFont="1" applyFill="1" applyBorder="1" applyAlignment="1">
      <alignment horizontal="center" vertical="center" readingOrder="2"/>
    </xf>
    <xf numFmtId="164" fontId="5" fillId="3" borderId="5" xfId="0" applyNumberFormat="1" applyFont="1" applyFill="1" applyBorder="1" applyAlignment="1">
      <alignment horizontal="center" vertical="center" readingOrder="2"/>
    </xf>
    <xf numFmtId="0" fontId="4" fillId="3" borderId="1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readingOrder="2"/>
    </xf>
    <xf numFmtId="164" fontId="5" fillId="0" borderId="1" xfId="0" applyNumberFormat="1" applyFont="1" applyBorder="1" applyAlignment="1">
      <alignment horizontal="center" vertical="center" readingOrder="2"/>
    </xf>
    <xf numFmtId="0" fontId="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272144</xdr:colOff>
      <xdr:row>35</xdr:row>
      <xdr:rowOff>163286</xdr:rowOff>
    </xdr:from>
    <xdr:to>
      <xdr:col>12</xdr:col>
      <xdr:colOff>631372</xdr:colOff>
      <xdr:row>40</xdr:row>
      <xdr:rowOff>43544</xdr:rowOff>
    </xdr:to>
    <xdr:sp macro="[0]!CopySheetToNewWorkbook" textlink="">
      <xdr:nvSpPr>
        <xdr:cNvPr id="3" name="Rounded Rectangle 2"/>
        <xdr:cNvSpPr/>
      </xdr:nvSpPr>
      <xdr:spPr>
        <a:xfrm>
          <a:off x="11048836714" y="12975772"/>
          <a:ext cx="9024257" cy="75111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fa-IR" sz="4400">
              <a:cs typeface="B Nazanin" panose="00000400000000000000" pitchFamily="2" charset="-78"/>
            </a:rPr>
            <a:t>ایجاد</a:t>
          </a:r>
          <a:r>
            <a:rPr lang="fa-IR" sz="4400" baseline="0">
              <a:cs typeface="B Nazanin" panose="00000400000000000000" pitchFamily="2" charset="-78"/>
            </a:rPr>
            <a:t> شیت جدید</a:t>
          </a:r>
          <a:endParaRPr lang="fa-IR" sz="4400">
            <a:cs typeface="B Nazanin" panose="00000400000000000000" pitchFamily="2" charset="-7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39997558519241921"/>
    <pageSetUpPr fitToPage="1"/>
  </sheetPr>
  <dimension ref="B1:T35"/>
  <sheetViews>
    <sheetView rightToLeft="1" tabSelected="1" showWhiteSpace="0" topLeftCell="A21" zoomScale="70" zoomScaleNormal="70" zoomScalePageLayoutView="40" workbookViewId="0">
      <selection activeCell="K34" sqref="K34:N34"/>
    </sheetView>
  </sheetViews>
  <sheetFormatPr defaultRowHeight="13.8" x14ac:dyDescent="0.25"/>
  <cols>
    <col min="2" max="2" width="5.5" customWidth="1"/>
    <col min="3" max="3" width="4.19921875" customWidth="1"/>
    <col min="4" max="4" width="7.19921875" customWidth="1"/>
    <col min="5" max="5" width="4" customWidth="1"/>
    <col min="6" max="6" width="15.59765625" customWidth="1"/>
    <col min="7" max="7" width="17.09765625" customWidth="1"/>
    <col min="8" max="8" width="19.69921875" customWidth="1"/>
    <col min="9" max="9" width="12.5" bestFit="1" customWidth="1"/>
    <col min="10" max="10" width="4.69921875" customWidth="1"/>
    <col min="11" max="11" width="13.5" customWidth="1"/>
    <col min="12" max="13" width="9.5" customWidth="1"/>
    <col min="14" max="14" width="5.09765625" customWidth="1"/>
  </cols>
  <sheetData>
    <row r="1" spans="2:20" ht="14.4" thickBot="1" x14ac:dyDescent="0.3"/>
    <row r="2" spans="2:20" ht="24.6" customHeight="1" thickBot="1" x14ac:dyDescent="0.8">
      <c r="B2" s="81"/>
      <c r="C2" s="81"/>
      <c r="D2" s="81"/>
      <c r="E2" s="81"/>
      <c r="F2" s="82" t="s">
        <v>18</v>
      </c>
      <c r="G2" s="82"/>
      <c r="H2" s="82"/>
      <c r="I2" s="80" t="s">
        <v>0</v>
      </c>
      <c r="J2" s="83"/>
      <c r="K2" s="84"/>
      <c r="L2" s="80" t="s">
        <v>1</v>
      </c>
      <c r="M2" s="83"/>
      <c r="N2" s="84"/>
    </row>
    <row r="3" spans="2:20" ht="34.950000000000003" customHeight="1" thickBot="1" x14ac:dyDescent="0.3">
      <c r="B3" s="81"/>
      <c r="C3" s="81"/>
      <c r="D3" s="81"/>
      <c r="E3" s="81"/>
      <c r="F3" s="82"/>
      <c r="G3" s="82"/>
      <c r="H3" s="82"/>
      <c r="I3" s="9" t="s">
        <v>4</v>
      </c>
      <c r="J3" s="85"/>
      <c r="K3" s="85"/>
      <c r="L3" s="85"/>
      <c r="M3" s="85"/>
      <c r="N3" s="86"/>
    </row>
    <row r="4" spans="2:20" ht="24" thickBot="1" x14ac:dyDescent="0.8">
      <c r="B4" s="87" t="s">
        <v>2</v>
      </c>
      <c r="C4" s="87"/>
      <c r="D4" s="88"/>
      <c r="E4" s="84"/>
      <c r="F4" s="89"/>
      <c r="G4" s="80" t="s">
        <v>3</v>
      </c>
      <c r="H4" s="2" t="s">
        <v>239</v>
      </c>
      <c r="I4" s="80" t="s">
        <v>5</v>
      </c>
      <c r="J4" s="83"/>
      <c r="K4" s="83"/>
      <c r="L4" s="83"/>
      <c r="M4" s="83"/>
      <c r="N4" s="84"/>
    </row>
    <row r="5" spans="2:20" s="1" customFormat="1" ht="29.4" customHeight="1" thickBot="1" x14ac:dyDescent="0.3">
      <c r="B5" s="79" t="s">
        <v>6</v>
      </c>
      <c r="C5" s="100" t="s">
        <v>7</v>
      </c>
      <c r="D5" s="100"/>
      <c r="E5" s="100"/>
      <c r="F5" s="100" t="s">
        <v>8</v>
      </c>
      <c r="G5" s="100"/>
      <c r="H5" s="79" t="s">
        <v>9</v>
      </c>
      <c r="I5" s="97" t="s">
        <v>10</v>
      </c>
      <c r="J5" s="99"/>
      <c r="K5" s="97" t="s">
        <v>11</v>
      </c>
      <c r="L5" s="98"/>
      <c r="M5" s="98"/>
      <c r="N5" s="99"/>
    </row>
    <row r="6" spans="2:20" ht="27.6" thickBot="1" x14ac:dyDescent="1.05">
      <c r="B6" s="6">
        <v>2</v>
      </c>
      <c r="C6" s="90">
        <v>45146</v>
      </c>
      <c r="D6" s="91"/>
      <c r="E6" s="92"/>
      <c r="F6" s="93" t="s">
        <v>397</v>
      </c>
      <c r="G6" s="93"/>
      <c r="H6" s="4">
        <v>1500000</v>
      </c>
      <c r="I6" s="94">
        <v>670</v>
      </c>
      <c r="J6" s="95"/>
      <c r="K6" s="94"/>
      <c r="L6" s="96"/>
      <c r="M6" s="96"/>
      <c r="N6" s="95"/>
    </row>
    <row r="7" spans="2:20" ht="27.6" thickBot="1" x14ac:dyDescent="1.05">
      <c r="B7" s="6">
        <v>3</v>
      </c>
      <c r="C7" s="90">
        <v>45147</v>
      </c>
      <c r="D7" s="91"/>
      <c r="E7" s="92"/>
      <c r="F7" s="93" t="s">
        <v>398</v>
      </c>
      <c r="G7" s="93"/>
      <c r="H7" s="4">
        <v>5000000</v>
      </c>
      <c r="I7" s="94">
        <v>671</v>
      </c>
      <c r="J7" s="95"/>
      <c r="K7" s="94"/>
      <c r="L7" s="96"/>
      <c r="M7" s="96"/>
      <c r="N7" s="95"/>
    </row>
    <row r="8" spans="2:20" s="1" customFormat="1" ht="27.6" thickBot="1" x14ac:dyDescent="0.35">
      <c r="B8" s="14">
        <v>4</v>
      </c>
      <c r="C8" s="90">
        <v>45147</v>
      </c>
      <c r="D8" s="91"/>
      <c r="E8" s="92"/>
      <c r="F8" s="93" t="s">
        <v>243</v>
      </c>
      <c r="G8" s="93"/>
      <c r="H8" s="4">
        <v>1400000</v>
      </c>
      <c r="I8" s="94">
        <v>672</v>
      </c>
      <c r="J8" s="95"/>
      <c r="K8" s="97"/>
      <c r="L8" s="98"/>
      <c r="M8" s="98"/>
      <c r="N8" s="99"/>
    </row>
    <row r="9" spans="2:20" ht="27.6" thickBot="1" x14ac:dyDescent="1.05">
      <c r="B9" s="6">
        <v>5</v>
      </c>
      <c r="C9" s="90">
        <v>45148</v>
      </c>
      <c r="D9" s="91"/>
      <c r="E9" s="92"/>
      <c r="F9" s="93" t="s">
        <v>341</v>
      </c>
      <c r="G9" s="93"/>
      <c r="H9" s="4">
        <v>1600000</v>
      </c>
      <c r="I9" s="94">
        <v>673</v>
      </c>
      <c r="J9" s="95"/>
      <c r="K9" s="94"/>
      <c r="L9" s="96"/>
      <c r="M9" s="96"/>
      <c r="N9" s="95"/>
    </row>
    <row r="10" spans="2:20" ht="27.6" thickBot="1" x14ac:dyDescent="1.05">
      <c r="B10" s="6">
        <v>6</v>
      </c>
      <c r="C10" s="90">
        <v>45148</v>
      </c>
      <c r="D10" s="91"/>
      <c r="E10" s="92"/>
      <c r="F10" s="93" t="s">
        <v>110</v>
      </c>
      <c r="G10" s="93"/>
      <c r="H10" s="4">
        <v>4000000</v>
      </c>
      <c r="I10" s="94">
        <v>674</v>
      </c>
      <c r="J10" s="95"/>
      <c r="K10" s="94"/>
      <c r="L10" s="96"/>
      <c r="M10" s="96"/>
      <c r="N10" s="95"/>
      <c r="T10" s="25"/>
    </row>
    <row r="11" spans="2:20" ht="27.6" thickBot="1" x14ac:dyDescent="1.05">
      <c r="B11" s="6">
        <v>7</v>
      </c>
      <c r="C11" s="90">
        <v>45148</v>
      </c>
      <c r="D11" s="91"/>
      <c r="E11" s="92"/>
      <c r="F11" s="93" t="s">
        <v>110</v>
      </c>
      <c r="G11" s="93"/>
      <c r="H11" s="4">
        <v>2400000</v>
      </c>
      <c r="I11" s="94">
        <v>675</v>
      </c>
      <c r="J11" s="95"/>
      <c r="K11" s="94"/>
      <c r="L11" s="96"/>
      <c r="M11" s="96"/>
      <c r="N11" s="95"/>
    </row>
    <row r="12" spans="2:20" ht="27.6" thickBot="1" x14ac:dyDescent="1.05">
      <c r="B12" s="6">
        <v>8</v>
      </c>
      <c r="C12" s="90">
        <v>45148</v>
      </c>
      <c r="D12" s="91"/>
      <c r="E12" s="92"/>
      <c r="F12" s="93" t="s">
        <v>399</v>
      </c>
      <c r="G12" s="93"/>
      <c r="H12" s="4">
        <v>2500000</v>
      </c>
      <c r="I12" s="94">
        <v>676</v>
      </c>
      <c r="J12" s="95"/>
      <c r="K12" s="94"/>
      <c r="L12" s="96"/>
      <c r="M12" s="96"/>
      <c r="N12" s="95"/>
    </row>
    <row r="13" spans="2:20" ht="27.6" thickBot="1" x14ac:dyDescent="1.05">
      <c r="B13" s="6">
        <v>9</v>
      </c>
      <c r="C13" s="90">
        <v>45148</v>
      </c>
      <c r="D13" s="91"/>
      <c r="E13" s="92"/>
      <c r="F13" s="93" t="s">
        <v>334</v>
      </c>
      <c r="G13" s="93"/>
      <c r="H13" s="4">
        <v>3500000</v>
      </c>
      <c r="I13" s="94">
        <v>677</v>
      </c>
      <c r="J13" s="95"/>
      <c r="K13" s="94"/>
      <c r="L13" s="96"/>
      <c r="M13" s="96"/>
      <c r="N13" s="95"/>
    </row>
    <row r="14" spans="2:20" ht="27.6" thickBot="1" x14ac:dyDescent="1.05">
      <c r="B14" s="6">
        <v>10</v>
      </c>
      <c r="C14" s="90">
        <v>45148</v>
      </c>
      <c r="D14" s="91"/>
      <c r="E14" s="92"/>
      <c r="F14" s="93" t="s">
        <v>334</v>
      </c>
      <c r="G14" s="93"/>
      <c r="H14" s="4">
        <v>1000000</v>
      </c>
      <c r="I14" s="94">
        <v>678</v>
      </c>
      <c r="J14" s="95"/>
      <c r="K14" s="94"/>
      <c r="L14" s="96"/>
      <c r="M14" s="96"/>
      <c r="N14" s="95"/>
    </row>
    <row r="15" spans="2:20" ht="27.6" thickBot="1" x14ac:dyDescent="1.05">
      <c r="B15" s="6">
        <v>11</v>
      </c>
      <c r="C15" s="90">
        <v>45148</v>
      </c>
      <c r="D15" s="91"/>
      <c r="E15" s="92"/>
      <c r="F15" s="93" t="s">
        <v>334</v>
      </c>
      <c r="G15" s="93"/>
      <c r="H15" s="4">
        <v>2000000</v>
      </c>
      <c r="I15" s="94">
        <v>679</v>
      </c>
      <c r="J15" s="95"/>
      <c r="K15" s="94"/>
      <c r="L15" s="96"/>
      <c r="M15" s="96"/>
      <c r="N15" s="95"/>
    </row>
    <row r="16" spans="2:20" ht="27.6" thickBot="1" x14ac:dyDescent="1.05">
      <c r="B16" s="6">
        <v>12</v>
      </c>
      <c r="C16" s="90">
        <v>45148</v>
      </c>
      <c r="D16" s="91"/>
      <c r="E16" s="92"/>
      <c r="F16" s="93" t="s">
        <v>400</v>
      </c>
      <c r="G16" s="93"/>
      <c r="H16" s="4">
        <v>60000000</v>
      </c>
      <c r="I16" s="94">
        <v>680</v>
      </c>
      <c r="J16" s="95"/>
      <c r="K16" s="94"/>
      <c r="L16" s="96"/>
      <c r="M16" s="96"/>
      <c r="N16" s="95"/>
    </row>
    <row r="17" spans="2:14" ht="27.6" thickBot="1" x14ac:dyDescent="1.05">
      <c r="B17" s="6">
        <v>13</v>
      </c>
      <c r="C17" s="90">
        <v>45148</v>
      </c>
      <c r="D17" s="91"/>
      <c r="E17" s="92"/>
      <c r="F17" s="93" t="s">
        <v>401</v>
      </c>
      <c r="G17" s="93"/>
      <c r="H17" s="4">
        <v>10000000</v>
      </c>
      <c r="I17" s="94">
        <v>681</v>
      </c>
      <c r="J17" s="95"/>
      <c r="K17" s="94"/>
      <c r="L17" s="96"/>
      <c r="M17" s="96"/>
      <c r="N17" s="95"/>
    </row>
    <row r="18" spans="2:14" ht="27.6" thickBot="1" x14ac:dyDescent="1.05">
      <c r="B18" s="6">
        <v>14</v>
      </c>
      <c r="C18" s="90">
        <v>45148</v>
      </c>
      <c r="D18" s="91"/>
      <c r="E18" s="92"/>
      <c r="F18" s="93" t="s">
        <v>401</v>
      </c>
      <c r="G18" s="93"/>
      <c r="H18" s="4">
        <v>3300000</v>
      </c>
      <c r="I18" s="94">
        <v>682</v>
      </c>
      <c r="J18" s="95"/>
      <c r="K18" s="94"/>
      <c r="L18" s="96"/>
      <c r="M18" s="96"/>
      <c r="N18" s="95"/>
    </row>
    <row r="19" spans="2:14" ht="27.6" thickBot="1" x14ac:dyDescent="1.05">
      <c r="B19" s="6">
        <v>15</v>
      </c>
      <c r="C19" s="90">
        <v>45150</v>
      </c>
      <c r="D19" s="91"/>
      <c r="E19" s="92"/>
      <c r="F19" s="93" t="s">
        <v>402</v>
      </c>
      <c r="G19" s="93"/>
      <c r="H19" s="4">
        <v>1500000</v>
      </c>
      <c r="I19" s="94">
        <v>683</v>
      </c>
      <c r="J19" s="95"/>
      <c r="K19" s="94"/>
      <c r="L19" s="96"/>
      <c r="M19" s="96"/>
      <c r="N19" s="95"/>
    </row>
    <row r="20" spans="2:14" ht="27.6" thickBot="1" x14ac:dyDescent="1.05">
      <c r="B20" s="6">
        <v>16</v>
      </c>
      <c r="C20" s="90">
        <v>45150</v>
      </c>
      <c r="D20" s="91"/>
      <c r="E20" s="92"/>
      <c r="F20" s="93" t="s">
        <v>403</v>
      </c>
      <c r="G20" s="93"/>
      <c r="H20" s="4">
        <v>3300000</v>
      </c>
      <c r="I20" s="94">
        <v>684</v>
      </c>
      <c r="J20" s="95"/>
      <c r="K20" s="94"/>
      <c r="L20" s="96"/>
      <c r="M20" s="96"/>
      <c r="N20" s="95"/>
    </row>
    <row r="21" spans="2:14" ht="27.6" thickBot="1" x14ac:dyDescent="1.05">
      <c r="B21" s="6">
        <v>17</v>
      </c>
      <c r="C21" s="90">
        <v>45150</v>
      </c>
      <c r="D21" s="91"/>
      <c r="E21" s="92"/>
      <c r="F21" s="93" t="s">
        <v>404</v>
      </c>
      <c r="G21" s="93"/>
      <c r="H21" s="4">
        <v>45000000</v>
      </c>
      <c r="I21" s="94">
        <v>685</v>
      </c>
      <c r="J21" s="95"/>
      <c r="K21" s="94"/>
      <c r="L21" s="96"/>
      <c r="M21" s="96"/>
      <c r="N21" s="95"/>
    </row>
    <row r="22" spans="2:14" ht="27.6" thickBot="1" x14ac:dyDescent="1.05">
      <c r="B22" s="6">
        <v>18</v>
      </c>
      <c r="C22" s="90">
        <v>45151</v>
      </c>
      <c r="D22" s="91"/>
      <c r="E22" s="92"/>
      <c r="F22" s="93" t="s">
        <v>405</v>
      </c>
      <c r="G22" s="93"/>
      <c r="H22" s="4">
        <v>650000</v>
      </c>
      <c r="I22" s="94">
        <v>686</v>
      </c>
      <c r="J22" s="95"/>
      <c r="K22" s="94"/>
      <c r="L22" s="96"/>
      <c r="M22" s="96"/>
      <c r="N22" s="95"/>
    </row>
    <row r="23" spans="2:14" ht="27.6" thickBot="1" x14ac:dyDescent="1.05">
      <c r="B23" s="6">
        <v>19</v>
      </c>
      <c r="C23" s="90">
        <v>45153</v>
      </c>
      <c r="D23" s="91"/>
      <c r="E23" s="92"/>
      <c r="F23" s="93" t="s">
        <v>178</v>
      </c>
      <c r="G23" s="93"/>
      <c r="H23" s="4">
        <f>780000+6780000</f>
        <v>7560000</v>
      </c>
      <c r="I23" s="94">
        <v>687</v>
      </c>
      <c r="J23" s="95"/>
      <c r="K23" s="94"/>
      <c r="L23" s="96"/>
      <c r="M23" s="96"/>
      <c r="N23" s="95"/>
    </row>
    <row r="24" spans="2:14" ht="27.6" thickBot="1" x14ac:dyDescent="1.05">
      <c r="B24" s="6">
        <v>20</v>
      </c>
      <c r="C24" s="90">
        <v>45153</v>
      </c>
      <c r="D24" s="91"/>
      <c r="E24" s="92"/>
      <c r="F24" s="93" t="s">
        <v>406</v>
      </c>
      <c r="G24" s="93"/>
      <c r="H24" s="4">
        <v>35000000</v>
      </c>
      <c r="I24" s="94">
        <v>688</v>
      </c>
      <c r="J24" s="95"/>
      <c r="K24" s="94"/>
      <c r="L24" s="96"/>
      <c r="M24" s="96"/>
      <c r="N24" s="95"/>
    </row>
    <row r="25" spans="2:14" ht="27.6" thickBot="1" x14ac:dyDescent="1.05">
      <c r="B25" s="6">
        <v>21</v>
      </c>
      <c r="C25" s="90">
        <v>45151</v>
      </c>
      <c r="D25" s="91"/>
      <c r="E25" s="92"/>
      <c r="F25" s="93" t="s">
        <v>407</v>
      </c>
      <c r="G25" s="93"/>
      <c r="H25" s="4">
        <v>4400000</v>
      </c>
      <c r="I25" s="94">
        <v>689</v>
      </c>
      <c r="J25" s="95"/>
      <c r="K25" s="94"/>
      <c r="L25" s="96"/>
      <c r="M25" s="96"/>
      <c r="N25" s="95"/>
    </row>
    <row r="26" spans="2:14" ht="27.6" thickBot="1" x14ac:dyDescent="1.05">
      <c r="B26" s="6">
        <v>22</v>
      </c>
      <c r="C26" s="90">
        <v>45151</v>
      </c>
      <c r="D26" s="91"/>
      <c r="E26" s="92"/>
      <c r="F26" s="93" t="s">
        <v>408</v>
      </c>
      <c r="G26" s="93"/>
      <c r="H26" s="4">
        <v>53460000</v>
      </c>
      <c r="I26" s="94">
        <v>690</v>
      </c>
      <c r="J26" s="95"/>
      <c r="K26" s="94"/>
      <c r="L26" s="96"/>
      <c r="M26" s="96"/>
      <c r="N26" s="95"/>
    </row>
    <row r="27" spans="2:14" ht="27.6" thickBot="1" x14ac:dyDescent="1.05">
      <c r="B27" s="6">
        <v>23</v>
      </c>
      <c r="C27" s="90">
        <v>45152</v>
      </c>
      <c r="D27" s="91"/>
      <c r="E27" s="92"/>
      <c r="F27" s="93" t="s">
        <v>402</v>
      </c>
      <c r="G27" s="93"/>
      <c r="H27" s="4">
        <v>2000000</v>
      </c>
      <c r="I27" s="94">
        <v>691</v>
      </c>
      <c r="J27" s="95"/>
      <c r="K27" s="94"/>
      <c r="L27" s="96"/>
      <c r="M27" s="96"/>
      <c r="N27" s="95"/>
    </row>
    <row r="28" spans="2:14" ht="27.6" thickBot="1" x14ac:dyDescent="1.05">
      <c r="B28" s="6">
        <v>24</v>
      </c>
      <c r="C28" s="90">
        <v>45153</v>
      </c>
      <c r="D28" s="91"/>
      <c r="E28" s="92"/>
      <c r="F28" s="93" t="s">
        <v>409</v>
      </c>
      <c r="G28" s="93"/>
      <c r="H28" s="4">
        <v>40000000</v>
      </c>
      <c r="I28" s="94">
        <v>692</v>
      </c>
      <c r="J28" s="95"/>
      <c r="K28" s="94"/>
      <c r="L28" s="96"/>
      <c r="M28" s="96"/>
      <c r="N28" s="95"/>
    </row>
    <row r="29" spans="2:14" ht="27.6" thickBot="1" x14ac:dyDescent="1.05">
      <c r="B29" s="6">
        <v>25</v>
      </c>
      <c r="C29" s="90">
        <v>45153</v>
      </c>
      <c r="D29" s="91"/>
      <c r="E29" s="92"/>
      <c r="F29" s="93" t="s">
        <v>410</v>
      </c>
      <c r="G29" s="93"/>
      <c r="H29" s="4">
        <v>10000000</v>
      </c>
      <c r="I29" s="94">
        <v>693</v>
      </c>
      <c r="J29" s="95"/>
      <c r="K29" s="94"/>
      <c r="L29" s="96"/>
      <c r="M29" s="96"/>
      <c r="N29" s="95"/>
    </row>
    <row r="30" spans="2:14" ht="27.6" thickBot="1" x14ac:dyDescent="1.05">
      <c r="B30" s="6">
        <v>26</v>
      </c>
      <c r="C30" s="90">
        <v>45146</v>
      </c>
      <c r="D30" s="91"/>
      <c r="E30" s="92"/>
      <c r="F30" s="94" t="s">
        <v>411</v>
      </c>
      <c r="G30" s="95"/>
      <c r="H30" s="4">
        <v>2750000</v>
      </c>
      <c r="I30" s="94">
        <v>694</v>
      </c>
      <c r="J30" s="95"/>
      <c r="K30" s="94"/>
      <c r="L30" s="96"/>
      <c r="M30" s="96"/>
      <c r="N30" s="95"/>
    </row>
    <row r="31" spans="2:14" ht="27.6" thickBot="1" x14ac:dyDescent="1.05">
      <c r="B31" s="6">
        <v>27</v>
      </c>
      <c r="C31" s="90">
        <v>45148</v>
      </c>
      <c r="D31" s="91"/>
      <c r="E31" s="92"/>
      <c r="F31" s="94" t="s">
        <v>21</v>
      </c>
      <c r="G31" s="95"/>
      <c r="H31" s="4">
        <v>1250000</v>
      </c>
      <c r="I31" s="94">
        <v>695</v>
      </c>
      <c r="J31" s="95"/>
      <c r="K31" s="94"/>
      <c r="L31" s="96"/>
      <c r="M31" s="96"/>
      <c r="N31" s="95"/>
    </row>
    <row r="32" spans="2:14" ht="27.6" thickBot="1" x14ac:dyDescent="1.05">
      <c r="B32" s="6">
        <v>28</v>
      </c>
      <c r="C32" s="90">
        <v>45150</v>
      </c>
      <c r="D32" s="91"/>
      <c r="E32" s="92"/>
      <c r="F32" s="94" t="s">
        <v>412</v>
      </c>
      <c r="G32" s="95"/>
      <c r="H32" s="4">
        <v>3150000</v>
      </c>
      <c r="I32" s="94">
        <v>696</v>
      </c>
      <c r="J32" s="95"/>
      <c r="K32" s="94"/>
      <c r="L32" s="96"/>
      <c r="M32" s="96"/>
      <c r="N32" s="95"/>
    </row>
    <row r="33" spans="2:14" s="1" customFormat="1" ht="29.4" customHeight="1" thickTop="1" thickBot="1" x14ac:dyDescent="0.3">
      <c r="B33" s="102" t="s">
        <v>12</v>
      </c>
      <c r="C33" s="102"/>
      <c r="D33" s="102"/>
      <c r="E33" s="102"/>
      <c r="F33" s="102"/>
      <c r="G33" s="103">
        <f>SUM(H6:H32)</f>
        <v>308220000</v>
      </c>
      <c r="H33" s="104"/>
      <c r="I33" s="104"/>
      <c r="J33" s="105"/>
      <c r="K33" s="106"/>
      <c r="L33" s="107"/>
      <c r="M33" s="107"/>
      <c r="N33" s="108"/>
    </row>
    <row r="34" spans="2:14" s="1" customFormat="1" ht="29.4" customHeight="1" thickBot="1" x14ac:dyDescent="0.3">
      <c r="B34" s="100" t="s">
        <v>13</v>
      </c>
      <c r="C34" s="100"/>
      <c r="D34" s="100"/>
      <c r="E34" s="100"/>
      <c r="F34" s="100"/>
      <c r="G34" s="109"/>
      <c r="H34" s="110"/>
      <c r="I34" s="110"/>
      <c r="J34" s="111"/>
      <c r="K34" s="97"/>
      <c r="L34" s="98"/>
      <c r="M34" s="98"/>
      <c r="N34" s="99"/>
    </row>
    <row r="35" spans="2:14" ht="82.2" customHeight="1" thickBot="1" x14ac:dyDescent="0.3">
      <c r="B35" s="101" t="s">
        <v>14</v>
      </c>
      <c r="C35" s="101"/>
      <c r="D35" s="101"/>
      <c r="E35" s="101"/>
      <c r="F35" s="101" t="s">
        <v>15</v>
      </c>
      <c r="G35" s="101"/>
      <c r="H35" s="101" t="s">
        <v>16</v>
      </c>
      <c r="I35" s="101"/>
      <c r="J35" s="101" t="s">
        <v>17</v>
      </c>
      <c r="K35" s="101"/>
      <c r="L35" s="101"/>
      <c r="M35" s="101"/>
      <c r="N35" s="101"/>
    </row>
  </sheetData>
  <mergeCells count="130">
    <mergeCell ref="B35:E35"/>
    <mergeCell ref="F35:G35"/>
    <mergeCell ref="H35:I35"/>
    <mergeCell ref="J35:N35"/>
    <mergeCell ref="B33:F33"/>
    <mergeCell ref="G33:J33"/>
    <mergeCell ref="K33:N33"/>
    <mergeCell ref="B34:F34"/>
    <mergeCell ref="G34:J34"/>
    <mergeCell ref="K34:N34"/>
    <mergeCell ref="C31:E31"/>
    <mergeCell ref="F31:G31"/>
    <mergeCell ref="I31:J31"/>
    <mergeCell ref="K31:N31"/>
    <mergeCell ref="C32:E32"/>
    <mergeCell ref="F32:G32"/>
    <mergeCell ref="I32:J32"/>
    <mergeCell ref="K32:N32"/>
    <mergeCell ref="C29:E29"/>
    <mergeCell ref="F29:G29"/>
    <mergeCell ref="I29:J29"/>
    <mergeCell ref="K29:N29"/>
    <mergeCell ref="C30:E30"/>
    <mergeCell ref="F30:G30"/>
    <mergeCell ref="I30:J30"/>
    <mergeCell ref="K30:N30"/>
    <mergeCell ref="C27:E27"/>
    <mergeCell ref="F27:G27"/>
    <mergeCell ref="I27:J27"/>
    <mergeCell ref="K27:N27"/>
    <mergeCell ref="C28:E28"/>
    <mergeCell ref="F28:G28"/>
    <mergeCell ref="I28:J28"/>
    <mergeCell ref="K28:N28"/>
    <mergeCell ref="C25:E25"/>
    <mergeCell ref="F25:G25"/>
    <mergeCell ref="I25:J25"/>
    <mergeCell ref="K25:N25"/>
    <mergeCell ref="C26:E26"/>
    <mergeCell ref="F26:G26"/>
    <mergeCell ref="I26:J26"/>
    <mergeCell ref="K26:N26"/>
    <mergeCell ref="C23:E23"/>
    <mergeCell ref="F23:G23"/>
    <mergeCell ref="I23:J23"/>
    <mergeCell ref="K23:N23"/>
    <mergeCell ref="C24:E24"/>
    <mergeCell ref="F24:G24"/>
    <mergeCell ref="I24:J24"/>
    <mergeCell ref="K24:N24"/>
    <mergeCell ref="C21:E21"/>
    <mergeCell ref="F21:G21"/>
    <mergeCell ref="I21:J21"/>
    <mergeCell ref="K21:N21"/>
    <mergeCell ref="C22:E22"/>
    <mergeCell ref="F22:G22"/>
    <mergeCell ref="I22:J22"/>
    <mergeCell ref="K22:N22"/>
    <mergeCell ref="C19:E19"/>
    <mergeCell ref="F19:G19"/>
    <mergeCell ref="I19:J19"/>
    <mergeCell ref="K19:N19"/>
    <mergeCell ref="C20:E20"/>
    <mergeCell ref="F20:G20"/>
    <mergeCell ref="I20:J20"/>
    <mergeCell ref="K20:N20"/>
    <mergeCell ref="C17:E17"/>
    <mergeCell ref="F17:G17"/>
    <mergeCell ref="I17:J17"/>
    <mergeCell ref="K17:N17"/>
    <mergeCell ref="C18:E18"/>
    <mergeCell ref="F18:G18"/>
    <mergeCell ref="I18:J18"/>
    <mergeCell ref="K18:N18"/>
    <mergeCell ref="C15:E15"/>
    <mergeCell ref="F15:G15"/>
    <mergeCell ref="I15:J15"/>
    <mergeCell ref="K15:N15"/>
    <mergeCell ref="C16:E16"/>
    <mergeCell ref="F16:G16"/>
    <mergeCell ref="I16:J16"/>
    <mergeCell ref="K16:N16"/>
    <mergeCell ref="C13:E13"/>
    <mergeCell ref="F13:G13"/>
    <mergeCell ref="I13:J13"/>
    <mergeCell ref="K13:N13"/>
    <mergeCell ref="C14:E14"/>
    <mergeCell ref="F14:G14"/>
    <mergeCell ref="I14:J14"/>
    <mergeCell ref="K14:N14"/>
    <mergeCell ref="C11:E11"/>
    <mergeCell ref="F11:G11"/>
    <mergeCell ref="I11:J11"/>
    <mergeCell ref="K11:N11"/>
    <mergeCell ref="C12:E12"/>
    <mergeCell ref="F12:G12"/>
    <mergeCell ref="I12:J12"/>
    <mergeCell ref="K12:N12"/>
    <mergeCell ref="C9:E9"/>
    <mergeCell ref="F9:G9"/>
    <mergeCell ref="I9:J9"/>
    <mergeCell ref="K9:N9"/>
    <mergeCell ref="C10:E10"/>
    <mergeCell ref="F10:G10"/>
    <mergeCell ref="I10:J10"/>
    <mergeCell ref="K10:N10"/>
    <mergeCell ref="C8:E8"/>
    <mergeCell ref="F8:G8"/>
    <mergeCell ref="I8:J8"/>
    <mergeCell ref="K8:N8"/>
    <mergeCell ref="C5:E5"/>
    <mergeCell ref="F5:G5"/>
    <mergeCell ref="I5:J5"/>
    <mergeCell ref="K5:N5"/>
    <mergeCell ref="C6:E6"/>
    <mergeCell ref="F6:G6"/>
    <mergeCell ref="I6:J6"/>
    <mergeCell ref="K6:N6"/>
    <mergeCell ref="B2:E3"/>
    <mergeCell ref="F2:H3"/>
    <mergeCell ref="J2:K2"/>
    <mergeCell ref="M2:N2"/>
    <mergeCell ref="J3:N3"/>
    <mergeCell ref="B4:D4"/>
    <mergeCell ref="E4:F4"/>
    <mergeCell ref="J4:N4"/>
    <mergeCell ref="C7:E7"/>
    <mergeCell ref="F7:G7"/>
    <mergeCell ref="I7:J7"/>
    <mergeCell ref="K7:N7"/>
  </mergeCells>
  <printOptions horizontalCentered="1" verticalCentered="1"/>
  <pageMargins left="0" right="0.23622047244094491" top="0" bottom="0.17" header="0" footer="0.4"/>
  <pageSetup paperSize="9" scale="71" orientation="portrait" r:id="rId1"/>
  <colBreaks count="2" manualBreakCount="2">
    <brk id="1" max="1048575" man="1"/>
    <brk id="10" min="1" max="32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39997558519241921"/>
    <pageSetUpPr fitToPage="1"/>
  </sheetPr>
  <dimension ref="B1:N35"/>
  <sheetViews>
    <sheetView rightToLeft="1" showWhiteSpace="0" topLeftCell="B1" zoomScale="70" zoomScaleNormal="70" zoomScalePageLayoutView="40" workbookViewId="0">
      <selection activeCell="T1" sqref="T1:V1048576"/>
    </sheetView>
  </sheetViews>
  <sheetFormatPr defaultRowHeight="13.8" x14ac:dyDescent="0.25"/>
  <cols>
    <col min="2" max="2" width="5.5" customWidth="1"/>
    <col min="3" max="3" width="4.19921875" customWidth="1"/>
    <col min="4" max="4" width="7.19921875" customWidth="1"/>
    <col min="5" max="5" width="4" customWidth="1"/>
    <col min="6" max="6" width="15.59765625" customWidth="1"/>
    <col min="7" max="7" width="17.09765625" customWidth="1"/>
    <col min="8" max="8" width="19.69921875" customWidth="1"/>
    <col min="9" max="9" width="12.5" bestFit="1" customWidth="1"/>
    <col min="10" max="10" width="4.69921875" customWidth="1"/>
    <col min="11" max="11" width="13.5" customWidth="1"/>
    <col min="12" max="13" width="9.5" customWidth="1"/>
    <col min="14" max="14" width="5.09765625" customWidth="1"/>
  </cols>
  <sheetData>
    <row r="1" spans="2:14" ht="14.4" thickBot="1" x14ac:dyDescent="0.3"/>
    <row r="2" spans="2:14" ht="24.6" customHeight="1" thickBot="1" x14ac:dyDescent="0.8">
      <c r="B2" s="81"/>
      <c r="C2" s="81"/>
      <c r="D2" s="81"/>
      <c r="E2" s="81"/>
      <c r="F2" s="82" t="s">
        <v>18</v>
      </c>
      <c r="G2" s="82"/>
      <c r="H2" s="82"/>
      <c r="I2" s="78" t="s">
        <v>0</v>
      </c>
      <c r="J2" s="83"/>
      <c r="K2" s="84"/>
      <c r="L2" s="78" t="s">
        <v>1</v>
      </c>
      <c r="M2" s="83"/>
      <c r="N2" s="84"/>
    </row>
    <row r="3" spans="2:14" ht="34.950000000000003" customHeight="1" thickBot="1" x14ac:dyDescent="0.3">
      <c r="B3" s="81"/>
      <c r="C3" s="81"/>
      <c r="D3" s="81"/>
      <c r="E3" s="81"/>
      <c r="F3" s="82"/>
      <c r="G3" s="82"/>
      <c r="H3" s="82"/>
      <c r="I3" s="9" t="s">
        <v>4</v>
      </c>
      <c r="J3" s="85"/>
      <c r="K3" s="85"/>
      <c r="L3" s="85"/>
      <c r="M3" s="85"/>
      <c r="N3" s="86"/>
    </row>
    <row r="4" spans="2:14" ht="24" thickBot="1" x14ac:dyDescent="0.8">
      <c r="B4" s="87" t="s">
        <v>2</v>
      </c>
      <c r="C4" s="87"/>
      <c r="D4" s="88"/>
      <c r="E4" s="84"/>
      <c r="F4" s="89"/>
      <c r="G4" s="78" t="s">
        <v>3</v>
      </c>
      <c r="H4" s="2" t="s">
        <v>239</v>
      </c>
      <c r="I4" s="78" t="s">
        <v>5</v>
      </c>
      <c r="J4" s="83"/>
      <c r="K4" s="83"/>
      <c r="L4" s="83"/>
      <c r="M4" s="83"/>
      <c r="N4" s="84"/>
    </row>
    <row r="5" spans="2:14" s="1" customFormat="1" ht="29.4" customHeight="1" thickBot="1" x14ac:dyDescent="0.3">
      <c r="B5" s="77" t="s">
        <v>6</v>
      </c>
      <c r="C5" s="100" t="s">
        <v>7</v>
      </c>
      <c r="D5" s="100"/>
      <c r="E5" s="100"/>
      <c r="F5" s="100" t="s">
        <v>8</v>
      </c>
      <c r="G5" s="100"/>
      <c r="H5" s="77" t="s">
        <v>9</v>
      </c>
      <c r="I5" s="97" t="s">
        <v>10</v>
      </c>
      <c r="J5" s="99"/>
      <c r="K5" s="97" t="s">
        <v>11</v>
      </c>
      <c r="L5" s="98"/>
      <c r="M5" s="98"/>
      <c r="N5" s="99"/>
    </row>
    <row r="6" spans="2:14" ht="27.6" thickBot="1" x14ac:dyDescent="1.05">
      <c r="B6" s="6">
        <v>2</v>
      </c>
      <c r="C6" s="90">
        <v>45138</v>
      </c>
      <c r="D6" s="91"/>
      <c r="E6" s="92"/>
      <c r="F6" s="93" t="s">
        <v>72</v>
      </c>
      <c r="G6" s="93"/>
      <c r="H6" s="4">
        <v>42000000</v>
      </c>
      <c r="I6" s="94">
        <v>643</v>
      </c>
      <c r="J6" s="95"/>
      <c r="K6" s="94"/>
      <c r="L6" s="96"/>
      <c r="M6" s="96"/>
      <c r="N6" s="95"/>
    </row>
    <row r="7" spans="2:14" ht="27.6" thickBot="1" x14ac:dyDescent="1.05">
      <c r="B7" s="6">
        <v>3</v>
      </c>
      <c r="C7" s="90">
        <v>45138</v>
      </c>
      <c r="D7" s="91"/>
      <c r="E7" s="92"/>
      <c r="F7" s="93" t="s">
        <v>377</v>
      </c>
      <c r="G7" s="93"/>
      <c r="H7" s="4">
        <v>41600000</v>
      </c>
      <c r="I7" s="94">
        <v>644</v>
      </c>
      <c r="J7" s="95"/>
      <c r="K7" s="94"/>
      <c r="L7" s="96"/>
      <c r="M7" s="96"/>
      <c r="N7" s="95"/>
    </row>
    <row r="8" spans="2:14" s="1" customFormat="1" ht="27.6" thickBot="1" x14ac:dyDescent="0.35">
      <c r="B8" s="14">
        <v>4</v>
      </c>
      <c r="C8" s="90">
        <v>45139</v>
      </c>
      <c r="D8" s="91"/>
      <c r="E8" s="92"/>
      <c r="F8" s="93" t="s">
        <v>378</v>
      </c>
      <c r="G8" s="93"/>
      <c r="H8" s="4">
        <v>18000000</v>
      </c>
      <c r="I8" s="94">
        <v>645</v>
      </c>
      <c r="J8" s="95"/>
      <c r="K8" s="97"/>
      <c r="L8" s="98"/>
      <c r="M8" s="98"/>
      <c r="N8" s="99"/>
    </row>
    <row r="9" spans="2:14" ht="27.6" thickBot="1" x14ac:dyDescent="1.05">
      <c r="B9" s="6">
        <v>5</v>
      </c>
      <c r="C9" s="90">
        <v>45140</v>
      </c>
      <c r="D9" s="91"/>
      <c r="E9" s="92"/>
      <c r="F9" s="93" t="s">
        <v>298</v>
      </c>
      <c r="G9" s="93"/>
      <c r="H9" s="4">
        <v>5000000</v>
      </c>
      <c r="I9" s="94">
        <v>646</v>
      </c>
      <c r="J9" s="95"/>
      <c r="K9" s="94"/>
      <c r="L9" s="96"/>
      <c r="M9" s="96"/>
      <c r="N9" s="95"/>
    </row>
    <row r="10" spans="2:14" ht="27.6" thickBot="1" x14ac:dyDescent="1.05">
      <c r="B10" s="6">
        <v>6</v>
      </c>
      <c r="C10" s="90">
        <v>45140</v>
      </c>
      <c r="D10" s="91"/>
      <c r="E10" s="92"/>
      <c r="F10" s="93" t="s">
        <v>298</v>
      </c>
      <c r="G10" s="93"/>
      <c r="H10" s="4">
        <v>5000000</v>
      </c>
      <c r="I10" s="94">
        <v>647</v>
      </c>
      <c r="J10" s="95"/>
      <c r="K10" s="94"/>
      <c r="L10" s="96"/>
      <c r="M10" s="96"/>
      <c r="N10" s="95"/>
    </row>
    <row r="11" spans="2:14" ht="27.6" thickBot="1" x14ac:dyDescent="1.05">
      <c r="B11" s="6">
        <v>7</v>
      </c>
      <c r="C11" s="90">
        <v>45140</v>
      </c>
      <c r="D11" s="91"/>
      <c r="E11" s="92"/>
      <c r="F11" s="93" t="s">
        <v>378</v>
      </c>
      <c r="G11" s="93"/>
      <c r="H11" s="4">
        <v>20000000</v>
      </c>
      <c r="I11" s="94">
        <v>648</v>
      </c>
      <c r="J11" s="95"/>
      <c r="K11" s="94"/>
      <c r="L11" s="96"/>
      <c r="M11" s="96"/>
      <c r="N11" s="95"/>
    </row>
    <row r="12" spans="2:14" ht="27.6" thickBot="1" x14ac:dyDescent="1.05">
      <c r="B12" s="6">
        <v>8</v>
      </c>
      <c r="C12" s="90">
        <v>45068</v>
      </c>
      <c r="D12" s="91"/>
      <c r="E12" s="92"/>
      <c r="F12" s="93" t="s">
        <v>379</v>
      </c>
      <c r="G12" s="93"/>
      <c r="H12" s="4">
        <v>6000000</v>
      </c>
      <c r="I12" s="94">
        <v>649</v>
      </c>
      <c r="J12" s="95"/>
      <c r="K12" s="94"/>
      <c r="L12" s="96"/>
      <c r="M12" s="96"/>
      <c r="N12" s="95"/>
    </row>
    <row r="13" spans="2:14" ht="27.6" thickBot="1" x14ac:dyDescent="1.05">
      <c r="B13" s="6">
        <v>9</v>
      </c>
      <c r="C13" s="90">
        <v>45104</v>
      </c>
      <c r="D13" s="91"/>
      <c r="E13" s="92"/>
      <c r="F13" s="93" t="s">
        <v>380</v>
      </c>
      <c r="G13" s="93"/>
      <c r="H13" s="4">
        <v>600000</v>
      </c>
      <c r="I13" s="94">
        <v>650</v>
      </c>
      <c r="J13" s="95"/>
      <c r="K13" s="94"/>
      <c r="L13" s="96"/>
      <c r="M13" s="96"/>
      <c r="N13" s="95"/>
    </row>
    <row r="14" spans="2:14" ht="27.6" thickBot="1" x14ac:dyDescent="1.05">
      <c r="B14" s="6">
        <v>10</v>
      </c>
      <c r="C14" s="90">
        <v>45138</v>
      </c>
      <c r="D14" s="91"/>
      <c r="E14" s="92"/>
      <c r="F14" s="93" t="s">
        <v>387</v>
      </c>
      <c r="G14" s="93"/>
      <c r="H14" s="4">
        <v>1000000</v>
      </c>
      <c r="I14" s="94">
        <v>651</v>
      </c>
      <c r="J14" s="95"/>
      <c r="K14" s="94"/>
      <c r="L14" s="96"/>
      <c r="M14" s="96"/>
      <c r="N14" s="95"/>
    </row>
    <row r="15" spans="2:14" ht="27.6" thickBot="1" x14ac:dyDescent="1.05">
      <c r="B15" s="6">
        <v>11</v>
      </c>
      <c r="C15" s="90">
        <v>45138</v>
      </c>
      <c r="D15" s="91"/>
      <c r="E15" s="92"/>
      <c r="F15" s="93" t="s">
        <v>384</v>
      </c>
      <c r="G15" s="93"/>
      <c r="H15" s="4">
        <v>7170000</v>
      </c>
      <c r="I15" s="94">
        <v>652</v>
      </c>
      <c r="J15" s="95"/>
      <c r="K15" s="94"/>
      <c r="L15" s="96"/>
      <c r="M15" s="96"/>
      <c r="N15" s="95"/>
    </row>
    <row r="16" spans="2:14" ht="27.6" thickBot="1" x14ac:dyDescent="1.05">
      <c r="B16" s="6">
        <v>12</v>
      </c>
      <c r="C16" s="90">
        <v>45138</v>
      </c>
      <c r="D16" s="91"/>
      <c r="E16" s="92"/>
      <c r="F16" s="93" t="s">
        <v>381</v>
      </c>
      <c r="G16" s="93"/>
      <c r="H16" s="4">
        <f>322000+7108200</f>
        <v>7430200</v>
      </c>
      <c r="I16" s="94">
        <v>653</v>
      </c>
      <c r="J16" s="95"/>
      <c r="K16" s="94"/>
      <c r="L16" s="96"/>
      <c r="M16" s="96"/>
      <c r="N16" s="95"/>
    </row>
    <row r="17" spans="2:14" ht="27.6" thickBot="1" x14ac:dyDescent="1.05">
      <c r="B17" s="6">
        <v>13</v>
      </c>
      <c r="C17" s="90" t="s">
        <v>382</v>
      </c>
      <c r="D17" s="91"/>
      <c r="E17" s="92"/>
      <c r="F17" s="93" t="s">
        <v>383</v>
      </c>
      <c r="G17" s="93"/>
      <c r="H17" s="4">
        <v>1540000</v>
      </c>
      <c r="I17" s="94">
        <v>654</v>
      </c>
      <c r="J17" s="95"/>
      <c r="K17" s="94"/>
      <c r="L17" s="96"/>
      <c r="M17" s="96"/>
      <c r="N17" s="95"/>
    </row>
    <row r="18" spans="2:14" ht="27.6" thickBot="1" x14ac:dyDescent="1.05">
      <c r="B18" s="6">
        <v>14</v>
      </c>
      <c r="C18" s="90">
        <v>45143</v>
      </c>
      <c r="D18" s="91"/>
      <c r="E18" s="92"/>
      <c r="F18" s="93" t="s">
        <v>334</v>
      </c>
      <c r="G18" s="93"/>
      <c r="H18" s="4">
        <v>2000000</v>
      </c>
      <c r="I18" s="94">
        <v>655</v>
      </c>
      <c r="J18" s="95"/>
      <c r="K18" s="94"/>
      <c r="L18" s="96"/>
      <c r="M18" s="96"/>
      <c r="N18" s="95"/>
    </row>
    <row r="19" spans="2:14" ht="27.6" thickBot="1" x14ac:dyDescent="1.05">
      <c r="B19" s="6">
        <v>15</v>
      </c>
      <c r="C19" s="90">
        <v>45144</v>
      </c>
      <c r="D19" s="91"/>
      <c r="E19" s="92"/>
      <c r="F19" s="93" t="s">
        <v>385</v>
      </c>
      <c r="G19" s="93"/>
      <c r="H19" s="4">
        <v>5000000</v>
      </c>
      <c r="I19" s="94">
        <v>656</v>
      </c>
      <c r="J19" s="95"/>
      <c r="K19" s="94"/>
      <c r="L19" s="96"/>
      <c r="M19" s="96"/>
      <c r="N19" s="95"/>
    </row>
    <row r="20" spans="2:14" ht="27.6" thickBot="1" x14ac:dyDescent="1.05">
      <c r="B20" s="6">
        <v>16</v>
      </c>
      <c r="C20" s="90">
        <v>45142</v>
      </c>
      <c r="D20" s="91"/>
      <c r="E20" s="92"/>
      <c r="F20" s="93" t="s">
        <v>386</v>
      </c>
      <c r="G20" s="93"/>
      <c r="H20" s="4">
        <v>8500000</v>
      </c>
      <c r="I20" s="94">
        <v>657</v>
      </c>
      <c r="J20" s="95"/>
      <c r="K20" s="94"/>
      <c r="L20" s="96"/>
      <c r="M20" s="96"/>
      <c r="N20" s="95"/>
    </row>
    <row r="21" spans="2:14" ht="27.6" thickBot="1" x14ac:dyDescent="1.05">
      <c r="B21" s="6">
        <v>17</v>
      </c>
      <c r="C21" s="90">
        <v>45145</v>
      </c>
      <c r="D21" s="91"/>
      <c r="E21" s="92"/>
      <c r="F21" s="93" t="s">
        <v>243</v>
      </c>
      <c r="G21" s="93"/>
      <c r="H21" s="4">
        <v>2500000</v>
      </c>
      <c r="I21" s="94">
        <v>658</v>
      </c>
      <c r="J21" s="95"/>
      <c r="K21" s="94"/>
      <c r="L21" s="96"/>
      <c r="M21" s="96"/>
      <c r="N21" s="95"/>
    </row>
    <row r="22" spans="2:14" ht="27.6" thickBot="1" x14ac:dyDescent="1.05">
      <c r="B22" s="6">
        <v>18</v>
      </c>
      <c r="C22" s="90">
        <v>45139</v>
      </c>
      <c r="D22" s="91"/>
      <c r="E22" s="92"/>
      <c r="F22" s="93" t="s">
        <v>388</v>
      </c>
      <c r="G22" s="93"/>
      <c r="H22" s="4">
        <v>7685000</v>
      </c>
      <c r="I22" s="94">
        <v>659</v>
      </c>
      <c r="J22" s="95"/>
      <c r="K22" s="94"/>
      <c r="L22" s="96"/>
      <c r="M22" s="96"/>
      <c r="N22" s="95"/>
    </row>
    <row r="23" spans="2:14" ht="27.6" thickBot="1" x14ac:dyDescent="1.05">
      <c r="B23" s="6">
        <v>19</v>
      </c>
      <c r="C23" s="90">
        <v>45139</v>
      </c>
      <c r="D23" s="91"/>
      <c r="E23" s="92"/>
      <c r="F23" s="93" t="s">
        <v>389</v>
      </c>
      <c r="G23" s="93"/>
      <c r="H23" s="4">
        <v>20300000</v>
      </c>
      <c r="I23" s="94">
        <v>660</v>
      </c>
      <c r="J23" s="95"/>
      <c r="K23" s="94"/>
      <c r="L23" s="96"/>
      <c r="M23" s="96"/>
      <c r="N23" s="95"/>
    </row>
    <row r="24" spans="2:14" ht="27.6" thickBot="1" x14ac:dyDescent="1.05">
      <c r="B24" s="6">
        <v>20</v>
      </c>
      <c r="C24" s="90">
        <v>45140</v>
      </c>
      <c r="D24" s="91"/>
      <c r="E24" s="92"/>
      <c r="F24" s="93" t="s">
        <v>390</v>
      </c>
      <c r="G24" s="93"/>
      <c r="H24" s="4">
        <v>4720000</v>
      </c>
      <c r="I24" s="94">
        <v>661</v>
      </c>
      <c r="J24" s="95"/>
      <c r="K24" s="94"/>
      <c r="L24" s="96"/>
      <c r="M24" s="96"/>
      <c r="N24" s="95"/>
    </row>
    <row r="25" spans="2:14" ht="27.6" thickBot="1" x14ac:dyDescent="1.05">
      <c r="B25" s="6">
        <v>21</v>
      </c>
      <c r="C25" s="90">
        <v>45140</v>
      </c>
      <c r="D25" s="91"/>
      <c r="E25" s="92"/>
      <c r="F25" s="93" t="s">
        <v>391</v>
      </c>
      <c r="G25" s="93"/>
      <c r="H25" s="4">
        <v>7390000</v>
      </c>
      <c r="I25" s="94">
        <v>662</v>
      </c>
      <c r="J25" s="95"/>
      <c r="K25" s="94"/>
      <c r="L25" s="96"/>
      <c r="M25" s="96"/>
      <c r="N25" s="95"/>
    </row>
    <row r="26" spans="2:14" ht="27.6" thickBot="1" x14ac:dyDescent="1.05">
      <c r="B26" s="6">
        <v>22</v>
      </c>
      <c r="C26" s="90">
        <v>45140</v>
      </c>
      <c r="D26" s="91"/>
      <c r="E26" s="92"/>
      <c r="F26" s="93" t="s">
        <v>392</v>
      </c>
      <c r="G26" s="93"/>
      <c r="H26" s="4">
        <v>3540000</v>
      </c>
      <c r="I26" s="94">
        <v>663</v>
      </c>
      <c r="J26" s="95"/>
      <c r="K26" s="94"/>
      <c r="L26" s="96"/>
      <c r="M26" s="96"/>
      <c r="N26" s="95"/>
    </row>
    <row r="27" spans="2:14" ht="27.6" thickBot="1" x14ac:dyDescent="1.05">
      <c r="B27" s="6">
        <v>23</v>
      </c>
      <c r="C27" s="90">
        <v>45140</v>
      </c>
      <c r="D27" s="91"/>
      <c r="E27" s="92"/>
      <c r="F27" s="93" t="s">
        <v>393</v>
      </c>
      <c r="G27" s="93"/>
      <c r="H27" s="4">
        <v>4000000</v>
      </c>
      <c r="I27" s="94">
        <v>664</v>
      </c>
      <c r="J27" s="95"/>
      <c r="K27" s="94"/>
      <c r="L27" s="96"/>
      <c r="M27" s="96"/>
      <c r="N27" s="95"/>
    </row>
    <row r="28" spans="2:14" ht="27.6" thickBot="1" x14ac:dyDescent="1.05">
      <c r="B28" s="6">
        <v>24</v>
      </c>
      <c r="C28" s="90">
        <v>45141</v>
      </c>
      <c r="D28" s="91"/>
      <c r="E28" s="92"/>
      <c r="F28" s="93" t="s">
        <v>394</v>
      </c>
      <c r="G28" s="93"/>
      <c r="H28" s="4">
        <v>9500000</v>
      </c>
      <c r="I28" s="94">
        <v>665</v>
      </c>
      <c r="J28" s="95"/>
      <c r="K28" s="94"/>
      <c r="L28" s="96"/>
      <c r="M28" s="96"/>
      <c r="N28" s="95"/>
    </row>
    <row r="29" spans="2:14" ht="27.6" thickBot="1" x14ac:dyDescent="1.05">
      <c r="B29" s="6">
        <v>25</v>
      </c>
      <c r="C29" s="90">
        <v>45143</v>
      </c>
      <c r="D29" s="91"/>
      <c r="E29" s="92"/>
      <c r="F29" s="93" t="s">
        <v>21</v>
      </c>
      <c r="G29" s="93"/>
      <c r="H29" s="4">
        <v>1230000</v>
      </c>
      <c r="I29" s="94">
        <v>666</v>
      </c>
      <c r="J29" s="95"/>
      <c r="K29" s="94"/>
      <c r="L29" s="96"/>
      <c r="M29" s="96"/>
      <c r="N29" s="95"/>
    </row>
    <row r="30" spans="2:14" ht="27.6" thickBot="1" x14ac:dyDescent="1.05">
      <c r="B30" s="6">
        <v>26</v>
      </c>
      <c r="C30" s="90">
        <v>45143</v>
      </c>
      <c r="D30" s="91"/>
      <c r="E30" s="92"/>
      <c r="F30" s="94" t="s">
        <v>395</v>
      </c>
      <c r="G30" s="95"/>
      <c r="H30" s="4">
        <v>6500000</v>
      </c>
      <c r="I30" s="94">
        <v>667</v>
      </c>
      <c r="J30" s="95"/>
      <c r="K30" s="94"/>
      <c r="L30" s="96"/>
      <c r="M30" s="96"/>
      <c r="N30" s="95"/>
    </row>
    <row r="31" spans="2:14" ht="27.6" thickBot="1" x14ac:dyDescent="1.05">
      <c r="B31" s="6">
        <v>27</v>
      </c>
      <c r="C31" s="90">
        <v>45143</v>
      </c>
      <c r="D31" s="91"/>
      <c r="E31" s="92"/>
      <c r="F31" s="94" t="s">
        <v>396</v>
      </c>
      <c r="G31" s="95"/>
      <c r="H31" s="4">
        <v>6800000</v>
      </c>
      <c r="I31" s="94">
        <v>668</v>
      </c>
      <c r="J31" s="95"/>
      <c r="K31" s="94"/>
      <c r="L31" s="96"/>
      <c r="M31" s="96"/>
      <c r="N31" s="95"/>
    </row>
    <row r="32" spans="2:14" ht="27.6" thickBot="1" x14ac:dyDescent="1.05">
      <c r="B32" s="6">
        <v>28</v>
      </c>
      <c r="C32" s="90">
        <v>45143</v>
      </c>
      <c r="D32" s="91"/>
      <c r="E32" s="92"/>
      <c r="F32" s="94" t="s">
        <v>52</v>
      </c>
      <c r="G32" s="95"/>
      <c r="H32" s="4">
        <v>1600000</v>
      </c>
      <c r="I32" s="94">
        <v>669</v>
      </c>
      <c r="J32" s="95"/>
      <c r="K32" s="94"/>
      <c r="L32" s="96"/>
      <c r="M32" s="96"/>
      <c r="N32" s="95"/>
    </row>
    <row r="33" spans="2:14" s="1" customFormat="1" ht="29.4" customHeight="1" thickTop="1" thickBot="1" x14ac:dyDescent="0.3">
      <c r="B33" s="102" t="s">
        <v>12</v>
      </c>
      <c r="C33" s="102"/>
      <c r="D33" s="102"/>
      <c r="E33" s="102"/>
      <c r="F33" s="102"/>
      <c r="G33" s="103">
        <f>SUM(H6:H32)</f>
        <v>246605200</v>
      </c>
      <c r="H33" s="104"/>
      <c r="I33" s="104"/>
      <c r="J33" s="105"/>
      <c r="K33" s="106"/>
      <c r="L33" s="107"/>
      <c r="M33" s="107"/>
      <c r="N33" s="108"/>
    </row>
    <row r="34" spans="2:14" s="1" customFormat="1" ht="29.4" customHeight="1" thickBot="1" x14ac:dyDescent="0.3">
      <c r="B34" s="100" t="s">
        <v>13</v>
      </c>
      <c r="C34" s="100"/>
      <c r="D34" s="100"/>
      <c r="E34" s="100"/>
      <c r="F34" s="100"/>
      <c r="G34" s="109"/>
      <c r="H34" s="110"/>
      <c r="I34" s="110"/>
      <c r="J34" s="111"/>
      <c r="K34" s="97"/>
      <c r="L34" s="98"/>
      <c r="M34" s="98"/>
      <c r="N34" s="99"/>
    </row>
    <row r="35" spans="2:14" ht="82.2" customHeight="1" thickBot="1" x14ac:dyDescent="0.3">
      <c r="B35" s="101" t="s">
        <v>14</v>
      </c>
      <c r="C35" s="101"/>
      <c r="D35" s="101"/>
      <c r="E35" s="101"/>
      <c r="F35" s="101" t="s">
        <v>15</v>
      </c>
      <c r="G35" s="101"/>
      <c r="H35" s="101" t="s">
        <v>16</v>
      </c>
      <c r="I35" s="101"/>
      <c r="J35" s="101" t="s">
        <v>17</v>
      </c>
      <c r="K35" s="101"/>
      <c r="L35" s="101"/>
      <c r="M35" s="101"/>
      <c r="N35" s="101"/>
    </row>
  </sheetData>
  <mergeCells count="130">
    <mergeCell ref="B34:F34"/>
    <mergeCell ref="G34:J34"/>
    <mergeCell ref="K34:N34"/>
    <mergeCell ref="B35:E35"/>
    <mergeCell ref="F35:G35"/>
    <mergeCell ref="H35:I35"/>
    <mergeCell ref="J35:N35"/>
    <mergeCell ref="B33:F33"/>
    <mergeCell ref="G33:J33"/>
    <mergeCell ref="K33:N33"/>
    <mergeCell ref="C29:E29"/>
    <mergeCell ref="F29:G29"/>
    <mergeCell ref="I29:J29"/>
    <mergeCell ref="K29:N29"/>
    <mergeCell ref="C32:E32"/>
    <mergeCell ref="F32:G32"/>
    <mergeCell ref="I32:J32"/>
    <mergeCell ref="K32:N32"/>
    <mergeCell ref="C27:E27"/>
    <mergeCell ref="F27:G27"/>
    <mergeCell ref="I27:J27"/>
    <mergeCell ref="K27:N27"/>
    <mergeCell ref="C28:E28"/>
    <mergeCell ref="F28:G28"/>
    <mergeCell ref="I28:J28"/>
    <mergeCell ref="K28:N28"/>
    <mergeCell ref="C30:E30"/>
    <mergeCell ref="F30:G30"/>
    <mergeCell ref="C31:E31"/>
    <mergeCell ref="F31:G31"/>
    <mergeCell ref="I30:J30"/>
    <mergeCell ref="I31:J31"/>
    <mergeCell ref="K30:N30"/>
    <mergeCell ref="K31:N31"/>
    <mergeCell ref="C25:E25"/>
    <mergeCell ref="F25:G25"/>
    <mergeCell ref="I25:J25"/>
    <mergeCell ref="K25:N25"/>
    <mergeCell ref="C26:E26"/>
    <mergeCell ref="F26:G26"/>
    <mergeCell ref="I26:J26"/>
    <mergeCell ref="K26:N26"/>
    <mergeCell ref="C23:E23"/>
    <mergeCell ref="F23:G23"/>
    <mergeCell ref="I23:J23"/>
    <mergeCell ref="K23:N23"/>
    <mergeCell ref="C24:E24"/>
    <mergeCell ref="F24:G24"/>
    <mergeCell ref="I24:J24"/>
    <mergeCell ref="K24:N24"/>
    <mergeCell ref="C21:E21"/>
    <mergeCell ref="F21:G21"/>
    <mergeCell ref="I21:J21"/>
    <mergeCell ref="K21:N21"/>
    <mergeCell ref="C22:E22"/>
    <mergeCell ref="F22:G22"/>
    <mergeCell ref="I22:J22"/>
    <mergeCell ref="K22:N22"/>
    <mergeCell ref="C19:E19"/>
    <mergeCell ref="F19:G19"/>
    <mergeCell ref="I19:J19"/>
    <mergeCell ref="K19:N19"/>
    <mergeCell ref="C20:E20"/>
    <mergeCell ref="F20:G20"/>
    <mergeCell ref="I20:J20"/>
    <mergeCell ref="K20:N20"/>
    <mergeCell ref="C17:E17"/>
    <mergeCell ref="F17:G17"/>
    <mergeCell ref="I17:J17"/>
    <mergeCell ref="K17:N17"/>
    <mergeCell ref="C18:E18"/>
    <mergeCell ref="F18:G18"/>
    <mergeCell ref="I18:J18"/>
    <mergeCell ref="K18:N18"/>
    <mergeCell ref="C15:E15"/>
    <mergeCell ref="F15:G15"/>
    <mergeCell ref="I15:J15"/>
    <mergeCell ref="K15:N15"/>
    <mergeCell ref="C16:E16"/>
    <mergeCell ref="F16:G16"/>
    <mergeCell ref="I16:J16"/>
    <mergeCell ref="K16:N16"/>
    <mergeCell ref="C13:E13"/>
    <mergeCell ref="F13:G13"/>
    <mergeCell ref="I13:J13"/>
    <mergeCell ref="K13:N13"/>
    <mergeCell ref="C14:E14"/>
    <mergeCell ref="F14:G14"/>
    <mergeCell ref="I14:J14"/>
    <mergeCell ref="K14:N14"/>
    <mergeCell ref="C11:E11"/>
    <mergeCell ref="F11:G11"/>
    <mergeCell ref="I11:J11"/>
    <mergeCell ref="K11:N11"/>
    <mergeCell ref="C12:E12"/>
    <mergeCell ref="F12:G12"/>
    <mergeCell ref="I12:J12"/>
    <mergeCell ref="K12:N12"/>
    <mergeCell ref="C9:E9"/>
    <mergeCell ref="F9:G9"/>
    <mergeCell ref="I9:J9"/>
    <mergeCell ref="K9:N9"/>
    <mergeCell ref="C10:E10"/>
    <mergeCell ref="F10:G10"/>
    <mergeCell ref="I10:J10"/>
    <mergeCell ref="K10:N10"/>
    <mergeCell ref="C7:E7"/>
    <mergeCell ref="F7:G7"/>
    <mergeCell ref="I7:J7"/>
    <mergeCell ref="K7:N7"/>
    <mergeCell ref="C8:E8"/>
    <mergeCell ref="F8:G8"/>
    <mergeCell ref="I8:J8"/>
    <mergeCell ref="K8:N8"/>
    <mergeCell ref="C5:E5"/>
    <mergeCell ref="F5:G5"/>
    <mergeCell ref="I5:J5"/>
    <mergeCell ref="K5:N5"/>
    <mergeCell ref="C6:E6"/>
    <mergeCell ref="F6:G6"/>
    <mergeCell ref="I6:J6"/>
    <mergeCell ref="K6:N6"/>
    <mergeCell ref="B2:E3"/>
    <mergeCell ref="F2:H3"/>
    <mergeCell ref="J2:K2"/>
    <mergeCell ref="M2:N2"/>
    <mergeCell ref="J3:N3"/>
    <mergeCell ref="B4:D4"/>
    <mergeCell ref="E4:F4"/>
    <mergeCell ref="J4:N4"/>
  </mergeCells>
  <printOptions horizontalCentered="1" verticalCentered="1"/>
  <pageMargins left="0" right="0.23622047244094491" top="0" bottom="0.17" header="0" footer="0.4"/>
  <pageSetup paperSize="9" scale="71" orientation="portrait" r:id="rId1"/>
  <colBreaks count="2" manualBreakCount="2">
    <brk id="1" max="1048575" man="1"/>
    <brk id="10" min="1" max="32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B1:N34"/>
  <sheetViews>
    <sheetView rightToLeft="1" showWhiteSpace="0" topLeftCell="B1" zoomScale="70" zoomScaleNormal="70" zoomScalePageLayoutView="40" workbookViewId="0">
      <selection activeCell="T1" sqref="T1:V1048576"/>
    </sheetView>
  </sheetViews>
  <sheetFormatPr defaultRowHeight="13.8" x14ac:dyDescent="0.25"/>
  <cols>
    <col min="2" max="2" width="5.5" customWidth="1"/>
    <col min="3" max="3" width="4.19921875" customWidth="1"/>
    <col min="4" max="4" width="7.19921875" customWidth="1"/>
    <col min="5" max="5" width="4" customWidth="1"/>
    <col min="6" max="6" width="15.59765625" customWidth="1"/>
    <col min="7" max="7" width="17.09765625" customWidth="1"/>
    <col min="8" max="8" width="19.69921875" customWidth="1"/>
    <col min="9" max="9" width="12.5" bestFit="1" customWidth="1"/>
    <col min="10" max="10" width="4.69921875" customWidth="1"/>
    <col min="11" max="11" width="13.5" customWidth="1"/>
    <col min="12" max="13" width="9.5" customWidth="1"/>
    <col min="14" max="14" width="5.09765625" customWidth="1"/>
  </cols>
  <sheetData>
    <row r="1" spans="2:14" ht="14.4" thickBot="1" x14ac:dyDescent="0.3"/>
    <row r="2" spans="2:14" ht="24.6" customHeight="1" thickBot="1" x14ac:dyDescent="0.8">
      <c r="B2" s="81"/>
      <c r="C2" s="81"/>
      <c r="D2" s="81"/>
      <c r="E2" s="81"/>
      <c r="F2" s="82" t="s">
        <v>18</v>
      </c>
      <c r="G2" s="82"/>
      <c r="H2" s="82"/>
      <c r="I2" s="76" t="s">
        <v>0</v>
      </c>
      <c r="J2" s="83"/>
      <c r="K2" s="84"/>
      <c r="L2" s="76" t="s">
        <v>1</v>
      </c>
      <c r="M2" s="83"/>
      <c r="N2" s="84"/>
    </row>
    <row r="3" spans="2:14" ht="34.950000000000003" customHeight="1" thickBot="1" x14ac:dyDescent="0.3">
      <c r="B3" s="81"/>
      <c r="C3" s="81"/>
      <c r="D3" s="81"/>
      <c r="E3" s="81"/>
      <c r="F3" s="82"/>
      <c r="G3" s="82"/>
      <c r="H3" s="82"/>
      <c r="I3" s="9" t="s">
        <v>4</v>
      </c>
      <c r="J3" s="85"/>
      <c r="K3" s="85"/>
      <c r="L3" s="85"/>
      <c r="M3" s="85"/>
      <c r="N3" s="86"/>
    </row>
    <row r="4" spans="2:14" ht="24" thickBot="1" x14ac:dyDescent="0.8">
      <c r="B4" s="87" t="s">
        <v>2</v>
      </c>
      <c r="C4" s="87"/>
      <c r="D4" s="88"/>
      <c r="E4" s="84"/>
      <c r="F4" s="89"/>
      <c r="G4" s="76" t="s">
        <v>3</v>
      </c>
      <c r="H4" s="2" t="s">
        <v>239</v>
      </c>
      <c r="I4" s="76" t="s">
        <v>5</v>
      </c>
      <c r="J4" s="83"/>
      <c r="K4" s="83"/>
      <c r="L4" s="83"/>
      <c r="M4" s="83"/>
      <c r="N4" s="84"/>
    </row>
    <row r="5" spans="2:14" s="1" customFormat="1" ht="29.4" customHeight="1" thickBot="1" x14ac:dyDescent="0.3">
      <c r="B5" s="75" t="s">
        <v>6</v>
      </c>
      <c r="C5" s="100" t="s">
        <v>7</v>
      </c>
      <c r="D5" s="100"/>
      <c r="E5" s="100"/>
      <c r="F5" s="100" t="s">
        <v>8</v>
      </c>
      <c r="G5" s="100"/>
      <c r="H5" s="75" t="s">
        <v>9</v>
      </c>
      <c r="I5" s="97" t="s">
        <v>10</v>
      </c>
      <c r="J5" s="99"/>
      <c r="K5" s="97" t="s">
        <v>11</v>
      </c>
      <c r="L5" s="98"/>
      <c r="M5" s="98"/>
      <c r="N5" s="99"/>
    </row>
    <row r="6" spans="2:14" ht="27.6" thickBot="1" x14ac:dyDescent="1.05">
      <c r="B6" s="6">
        <v>2</v>
      </c>
      <c r="C6" s="90">
        <v>45127</v>
      </c>
      <c r="D6" s="91"/>
      <c r="E6" s="92"/>
      <c r="F6" s="93" t="s">
        <v>29</v>
      </c>
      <c r="G6" s="93"/>
      <c r="H6" s="4">
        <v>1300000</v>
      </c>
      <c r="I6" s="94">
        <v>617</v>
      </c>
      <c r="J6" s="95"/>
      <c r="K6" s="94"/>
      <c r="L6" s="96"/>
      <c r="M6" s="96"/>
      <c r="N6" s="95"/>
    </row>
    <row r="7" spans="2:14" ht="27.6" thickBot="1" x14ac:dyDescent="1.05">
      <c r="B7" s="6">
        <v>3</v>
      </c>
      <c r="C7" s="90">
        <v>45127</v>
      </c>
      <c r="D7" s="91"/>
      <c r="E7" s="92"/>
      <c r="F7" s="93" t="s">
        <v>41</v>
      </c>
      <c r="G7" s="93"/>
      <c r="H7" s="4">
        <v>1450000</v>
      </c>
      <c r="I7" s="94">
        <v>618</v>
      </c>
      <c r="J7" s="95"/>
      <c r="K7" s="94"/>
      <c r="L7" s="96"/>
      <c r="M7" s="96"/>
      <c r="N7" s="95"/>
    </row>
    <row r="8" spans="2:14" s="1" customFormat="1" ht="27.6" thickBot="1" x14ac:dyDescent="0.35">
      <c r="B8" s="14">
        <v>4</v>
      </c>
      <c r="C8" s="90">
        <v>45131</v>
      </c>
      <c r="D8" s="91"/>
      <c r="E8" s="92"/>
      <c r="F8" s="93" t="s">
        <v>21</v>
      </c>
      <c r="G8" s="93"/>
      <c r="H8" s="4">
        <v>1240000</v>
      </c>
      <c r="I8" s="94">
        <v>619</v>
      </c>
      <c r="J8" s="95"/>
      <c r="K8" s="97"/>
      <c r="L8" s="98"/>
      <c r="M8" s="98"/>
      <c r="N8" s="99"/>
    </row>
    <row r="9" spans="2:14" ht="27.6" thickBot="1" x14ac:dyDescent="1.05">
      <c r="B9" s="6">
        <v>5</v>
      </c>
      <c r="C9" s="90">
        <v>45131</v>
      </c>
      <c r="D9" s="91"/>
      <c r="E9" s="92"/>
      <c r="F9" s="93" t="s">
        <v>359</v>
      </c>
      <c r="G9" s="93"/>
      <c r="H9" s="4">
        <v>12000000</v>
      </c>
      <c r="I9" s="94">
        <v>620</v>
      </c>
      <c r="J9" s="95"/>
      <c r="K9" s="94"/>
      <c r="L9" s="96"/>
      <c r="M9" s="96"/>
      <c r="N9" s="95"/>
    </row>
    <row r="10" spans="2:14" ht="27.6" thickBot="1" x14ac:dyDescent="1.05">
      <c r="B10" s="6">
        <v>6</v>
      </c>
      <c r="C10" s="90">
        <v>45131</v>
      </c>
      <c r="D10" s="91"/>
      <c r="E10" s="92"/>
      <c r="F10" s="93" t="s">
        <v>364</v>
      </c>
      <c r="G10" s="93"/>
      <c r="H10" s="4">
        <v>1400000</v>
      </c>
      <c r="I10" s="94">
        <v>621</v>
      </c>
      <c r="J10" s="95"/>
      <c r="K10" s="94"/>
      <c r="L10" s="96"/>
      <c r="M10" s="96"/>
      <c r="N10" s="95"/>
    </row>
    <row r="11" spans="2:14" ht="27.6" thickBot="1" x14ac:dyDescent="1.05">
      <c r="B11" s="6">
        <v>7</v>
      </c>
      <c r="C11" s="90">
        <v>45131</v>
      </c>
      <c r="D11" s="91"/>
      <c r="E11" s="92"/>
      <c r="F11" s="93" t="s">
        <v>360</v>
      </c>
      <c r="G11" s="93"/>
      <c r="H11" s="4">
        <v>20000000</v>
      </c>
      <c r="I11" s="94">
        <v>622</v>
      </c>
      <c r="J11" s="95"/>
      <c r="K11" s="94"/>
      <c r="L11" s="96"/>
      <c r="M11" s="96"/>
      <c r="N11" s="95"/>
    </row>
    <row r="12" spans="2:14" ht="27.6" thickBot="1" x14ac:dyDescent="1.05">
      <c r="B12" s="6">
        <v>8</v>
      </c>
      <c r="C12" s="90">
        <v>45132</v>
      </c>
      <c r="D12" s="91"/>
      <c r="E12" s="92"/>
      <c r="F12" s="93" t="s">
        <v>346</v>
      </c>
      <c r="G12" s="93"/>
      <c r="H12" s="4">
        <v>12000000</v>
      </c>
      <c r="I12" s="94">
        <v>623</v>
      </c>
      <c r="J12" s="95"/>
      <c r="K12" s="94"/>
      <c r="L12" s="96"/>
      <c r="M12" s="96"/>
      <c r="N12" s="95"/>
    </row>
    <row r="13" spans="2:14" ht="27.6" thickBot="1" x14ac:dyDescent="1.05">
      <c r="B13" s="6">
        <v>9</v>
      </c>
      <c r="C13" s="90">
        <v>45132</v>
      </c>
      <c r="D13" s="91"/>
      <c r="E13" s="92"/>
      <c r="F13" s="93" t="s">
        <v>361</v>
      </c>
      <c r="G13" s="93"/>
      <c r="H13" s="4">
        <v>4000000</v>
      </c>
      <c r="I13" s="94">
        <v>624</v>
      </c>
      <c r="J13" s="95"/>
      <c r="K13" s="94"/>
      <c r="L13" s="96"/>
      <c r="M13" s="96"/>
      <c r="N13" s="95"/>
    </row>
    <row r="14" spans="2:14" ht="27.6" thickBot="1" x14ac:dyDescent="1.05">
      <c r="B14" s="6">
        <v>10</v>
      </c>
      <c r="C14" s="90">
        <v>45132</v>
      </c>
      <c r="D14" s="91"/>
      <c r="E14" s="92"/>
      <c r="F14" s="93" t="s">
        <v>362</v>
      </c>
      <c r="G14" s="93"/>
      <c r="H14" s="4">
        <v>39200000</v>
      </c>
      <c r="I14" s="94">
        <v>625</v>
      </c>
      <c r="J14" s="95"/>
      <c r="K14" s="94"/>
      <c r="L14" s="96"/>
      <c r="M14" s="96"/>
      <c r="N14" s="95"/>
    </row>
    <row r="15" spans="2:14" ht="27.6" thickBot="1" x14ac:dyDescent="1.05">
      <c r="B15" s="6">
        <v>11</v>
      </c>
      <c r="C15" s="90">
        <v>45132</v>
      </c>
      <c r="D15" s="91"/>
      <c r="E15" s="92"/>
      <c r="F15" s="93" t="s">
        <v>363</v>
      </c>
      <c r="G15" s="93"/>
      <c r="H15" s="4">
        <v>18000000</v>
      </c>
      <c r="I15" s="94">
        <v>626</v>
      </c>
      <c r="J15" s="95"/>
      <c r="K15" s="94"/>
      <c r="L15" s="96"/>
      <c r="M15" s="96"/>
      <c r="N15" s="95"/>
    </row>
    <row r="16" spans="2:14" ht="27.6" thickBot="1" x14ac:dyDescent="1.05">
      <c r="B16" s="6">
        <v>12</v>
      </c>
      <c r="C16" s="90">
        <v>45132</v>
      </c>
      <c r="D16" s="91"/>
      <c r="E16" s="92"/>
      <c r="F16" s="93" t="s">
        <v>366</v>
      </c>
      <c r="G16" s="93"/>
      <c r="H16" s="4">
        <v>1000000</v>
      </c>
      <c r="I16" s="94">
        <v>627</v>
      </c>
      <c r="J16" s="95"/>
      <c r="K16" s="94"/>
      <c r="L16" s="96"/>
      <c r="M16" s="96"/>
      <c r="N16" s="95"/>
    </row>
    <row r="17" spans="2:14" ht="27.6" thickBot="1" x14ac:dyDescent="1.05">
      <c r="B17" s="6">
        <v>13</v>
      </c>
      <c r="C17" s="90">
        <v>45132</v>
      </c>
      <c r="D17" s="91"/>
      <c r="E17" s="92"/>
      <c r="F17" s="93" t="s">
        <v>367</v>
      </c>
      <c r="G17" s="93"/>
      <c r="H17" s="4">
        <v>10000000</v>
      </c>
      <c r="I17" s="94">
        <v>628</v>
      </c>
      <c r="J17" s="95"/>
      <c r="K17" s="94"/>
      <c r="L17" s="96"/>
      <c r="M17" s="96"/>
      <c r="N17" s="95"/>
    </row>
    <row r="18" spans="2:14" ht="27.6" thickBot="1" x14ac:dyDescent="1.05">
      <c r="B18" s="6">
        <v>14</v>
      </c>
      <c r="C18" s="90">
        <v>45130</v>
      </c>
      <c r="D18" s="91"/>
      <c r="E18" s="92"/>
      <c r="F18" s="93" t="s">
        <v>368</v>
      </c>
      <c r="G18" s="93"/>
      <c r="H18" s="4">
        <v>2300000</v>
      </c>
      <c r="I18" s="94">
        <v>629</v>
      </c>
      <c r="J18" s="95"/>
      <c r="K18" s="94"/>
      <c r="L18" s="96"/>
      <c r="M18" s="96"/>
      <c r="N18" s="95"/>
    </row>
    <row r="19" spans="2:14" ht="27.6" thickBot="1" x14ac:dyDescent="1.05">
      <c r="B19" s="6">
        <v>15</v>
      </c>
      <c r="C19" s="90">
        <v>45132</v>
      </c>
      <c r="D19" s="91"/>
      <c r="E19" s="92"/>
      <c r="F19" s="93" t="s">
        <v>369</v>
      </c>
      <c r="G19" s="93"/>
      <c r="H19" s="4">
        <v>36000000</v>
      </c>
      <c r="I19" s="94">
        <v>630</v>
      </c>
      <c r="J19" s="95"/>
      <c r="K19" s="94"/>
      <c r="L19" s="96"/>
      <c r="M19" s="96"/>
      <c r="N19" s="95"/>
    </row>
    <row r="20" spans="2:14" ht="27.6" thickBot="1" x14ac:dyDescent="1.05">
      <c r="B20" s="6">
        <v>16</v>
      </c>
      <c r="C20" s="90">
        <v>45134</v>
      </c>
      <c r="D20" s="91"/>
      <c r="E20" s="92"/>
      <c r="F20" s="93" t="s">
        <v>165</v>
      </c>
      <c r="G20" s="93"/>
      <c r="H20" s="4">
        <v>1250000</v>
      </c>
      <c r="I20" s="94">
        <v>631</v>
      </c>
      <c r="J20" s="95"/>
      <c r="K20" s="94"/>
      <c r="L20" s="96"/>
      <c r="M20" s="96"/>
      <c r="N20" s="95"/>
    </row>
    <row r="21" spans="2:14" ht="27.6" thickBot="1" x14ac:dyDescent="1.05">
      <c r="B21" s="6">
        <v>17</v>
      </c>
      <c r="C21" s="90">
        <v>45136</v>
      </c>
      <c r="D21" s="91"/>
      <c r="E21" s="92"/>
      <c r="F21" s="93" t="s">
        <v>370</v>
      </c>
      <c r="G21" s="93"/>
      <c r="H21" s="4">
        <v>2650000</v>
      </c>
      <c r="I21" s="94">
        <v>632</v>
      </c>
      <c r="J21" s="95"/>
      <c r="K21" s="94"/>
      <c r="L21" s="96"/>
      <c r="M21" s="96"/>
      <c r="N21" s="95"/>
    </row>
    <row r="22" spans="2:14" ht="27.6" thickBot="1" x14ac:dyDescent="1.05">
      <c r="B22" s="6">
        <v>18</v>
      </c>
      <c r="C22" s="90">
        <v>45136</v>
      </c>
      <c r="D22" s="91"/>
      <c r="E22" s="92"/>
      <c r="F22" s="93" t="s">
        <v>371</v>
      </c>
      <c r="G22" s="93"/>
      <c r="H22" s="4">
        <v>5640000</v>
      </c>
      <c r="I22" s="94">
        <v>633</v>
      </c>
      <c r="J22" s="95"/>
      <c r="K22" s="94"/>
      <c r="L22" s="96"/>
      <c r="M22" s="96"/>
      <c r="N22" s="95"/>
    </row>
    <row r="23" spans="2:14" ht="27.6" thickBot="1" x14ac:dyDescent="1.05">
      <c r="B23" s="6">
        <v>19</v>
      </c>
      <c r="C23" s="90">
        <v>45136</v>
      </c>
      <c r="D23" s="91"/>
      <c r="E23" s="92"/>
      <c r="F23" s="93" t="s">
        <v>372</v>
      </c>
      <c r="G23" s="93"/>
      <c r="H23" s="4">
        <v>420000</v>
      </c>
      <c r="I23" s="94">
        <v>634</v>
      </c>
      <c r="J23" s="95"/>
      <c r="K23" s="94"/>
      <c r="L23" s="96"/>
      <c r="M23" s="96"/>
      <c r="N23" s="95"/>
    </row>
    <row r="24" spans="2:14" ht="27.6" thickBot="1" x14ac:dyDescent="1.05">
      <c r="B24" s="6">
        <v>20</v>
      </c>
      <c r="C24" s="90">
        <v>45136</v>
      </c>
      <c r="D24" s="91"/>
      <c r="E24" s="92"/>
      <c r="F24" s="93" t="s">
        <v>341</v>
      </c>
      <c r="G24" s="93"/>
      <c r="H24" s="4">
        <v>1800000</v>
      </c>
      <c r="I24" s="94">
        <v>635</v>
      </c>
      <c r="J24" s="95"/>
      <c r="K24" s="94"/>
      <c r="L24" s="96"/>
      <c r="M24" s="96"/>
      <c r="N24" s="95"/>
    </row>
    <row r="25" spans="2:14" ht="27.6" thickBot="1" x14ac:dyDescent="1.05">
      <c r="B25" s="6">
        <v>21</v>
      </c>
      <c r="C25" s="90">
        <v>45136</v>
      </c>
      <c r="D25" s="91"/>
      <c r="E25" s="92"/>
      <c r="F25" s="93" t="s">
        <v>373</v>
      </c>
      <c r="G25" s="93"/>
      <c r="H25" s="4">
        <v>18000000</v>
      </c>
      <c r="I25" s="94">
        <v>636</v>
      </c>
      <c r="J25" s="95"/>
      <c r="K25" s="94"/>
      <c r="L25" s="96"/>
      <c r="M25" s="96"/>
      <c r="N25" s="95"/>
    </row>
    <row r="26" spans="2:14" ht="27.6" thickBot="1" x14ac:dyDescent="1.05">
      <c r="B26" s="6">
        <v>22</v>
      </c>
      <c r="C26" s="90">
        <v>45136</v>
      </c>
      <c r="D26" s="91"/>
      <c r="E26" s="92"/>
      <c r="F26" s="93" t="s">
        <v>374</v>
      </c>
      <c r="G26" s="93"/>
      <c r="H26" s="4">
        <v>1090000</v>
      </c>
      <c r="I26" s="94">
        <v>637</v>
      </c>
      <c r="J26" s="95"/>
      <c r="K26" s="94"/>
      <c r="L26" s="96"/>
      <c r="M26" s="96"/>
      <c r="N26" s="95"/>
    </row>
    <row r="27" spans="2:14" ht="27.6" thickBot="1" x14ac:dyDescent="1.05">
      <c r="B27" s="6">
        <v>23</v>
      </c>
      <c r="C27" s="90">
        <v>45136</v>
      </c>
      <c r="D27" s="91"/>
      <c r="E27" s="92"/>
      <c r="F27" s="93" t="s">
        <v>375</v>
      </c>
      <c r="G27" s="93"/>
      <c r="H27" s="4">
        <v>41600000</v>
      </c>
      <c r="I27" s="94">
        <v>638</v>
      </c>
      <c r="J27" s="95"/>
      <c r="K27" s="94"/>
      <c r="L27" s="96"/>
      <c r="M27" s="96"/>
      <c r="N27" s="95"/>
    </row>
    <row r="28" spans="2:14" ht="27.6" thickBot="1" x14ac:dyDescent="1.05">
      <c r="B28" s="6">
        <v>24</v>
      </c>
      <c r="C28" s="90">
        <v>45136</v>
      </c>
      <c r="D28" s="91"/>
      <c r="E28" s="92"/>
      <c r="F28" s="93" t="s">
        <v>110</v>
      </c>
      <c r="G28" s="93"/>
      <c r="H28" s="4">
        <v>2400000</v>
      </c>
      <c r="I28" s="94">
        <v>639</v>
      </c>
      <c r="J28" s="95"/>
      <c r="K28" s="94"/>
      <c r="L28" s="96"/>
      <c r="M28" s="96"/>
      <c r="N28" s="95"/>
    </row>
    <row r="29" spans="2:14" ht="27.6" thickBot="1" x14ac:dyDescent="1.05">
      <c r="B29" s="6">
        <v>25</v>
      </c>
      <c r="C29" s="90">
        <v>45137</v>
      </c>
      <c r="D29" s="91"/>
      <c r="E29" s="92"/>
      <c r="F29" s="93" t="s">
        <v>110</v>
      </c>
      <c r="G29" s="93"/>
      <c r="H29" s="4">
        <v>1500000</v>
      </c>
      <c r="I29" s="94">
        <v>640</v>
      </c>
      <c r="J29" s="95"/>
      <c r="K29" s="94"/>
      <c r="L29" s="96"/>
      <c r="M29" s="96"/>
      <c r="N29" s="95"/>
    </row>
    <row r="30" spans="2:14" ht="27.6" thickBot="1" x14ac:dyDescent="1.05">
      <c r="B30" s="6">
        <v>26</v>
      </c>
      <c r="C30" s="90">
        <v>45137</v>
      </c>
      <c r="D30" s="91"/>
      <c r="E30" s="92"/>
      <c r="F30" s="94" t="s">
        <v>21</v>
      </c>
      <c r="G30" s="95"/>
      <c r="H30" s="4">
        <v>1100000</v>
      </c>
      <c r="I30" s="94">
        <v>641</v>
      </c>
      <c r="J30" s="95"/>
      <c r="K30" s="94"/>
      <c r="L30" s="96"/>
      <c r="M30" s="96"/>
      <c r="N30" s="95"/>
    </row>
    <row r="31" spans="2:14" ht="27.6" thickBot="1" x14ac:dyDescent="1.05">
      <c r="B31" s="6">
        <v>27</v>
      </c>
      <c r="C31" s="90">
        <v>45137</v>
      </c>
      <c r="D31" s="91"/>
      <c r="E31" s="92"/>
      <c r="F31" s="94" t="s">
        <v>376</v>
      </c>
      <c r="G31" s="95"/>
      <c r="H31" s="4">
        <v>2700000</v>
      </c>
      <c r="I31" s="94">
        <v>642</v>
      </c>
      <c r="J31" s="95"/>
      <c r="K31" s="112"/>
      <c r="L31" s="113"/>
      <c r="M31" s="113"/>
      <c r="N31" s="114"/>
    </row>
    <row r="32" spans="2:14" s="1" customFormat="1" ht="29.4" customHeight="1" thickTop="1" thickBot="1" x14ac:dyDescent="0.3">
      <c r="B32" s="102" t="s">
        <v>12</v>
      </c>
      <c r="C32" s="102"/>
      <c r="D32" s="102"/>
      <c r="E32" s="102"/>
      <c r="F32" s="102"/>
      <c r="G32" s="103">
        <f>SUM(H6:H31)</f>
        <v>240040000</v>
      </c>
      <c r="H32" s="104"/>
      <c r="I32" s="104"/>
      <c r="J32" s="105"/>
      <c r="K32" s="106"/>
      <c r="L32" s="107"/>
      <c r="M32" s="107"/>
      <c r="N32" s="108"/>
    </row>
    <row r="33" spans="2:14" s="1" customFormat="1" ht="29.4" customHeight="1" thickBot="1" x14ac:dyDescent="0.3">
      <c r="B33" s="100" t="s">
        <v>13</v>
      </c>
      <c r="C33" s="100"/>
      <c r="D33" s="100"/>
      <c r="E33" s="100"/>
      <c r="F33" s="100"/>
      <c r="G33" s="109"/>
      <c r="H33" s="110"/>
      <c r="I33" s="110"/>
      <c r="J33" s="111"/>
      <c r="K33" s="97"/>
      <c r="L33" s="98"/>
      <c r="M33" s="98"/>
      <c r="N33" s="99"/>
    </row>
    <row r="34" spans="2:14" ht="82.2" customHeight="1" thickBot="1" x14ac:dyDescent="0.3">
      <c r="B34" s="101" t="s">
        <v>14</v>
      </c>
      <c r="C34" s="101"/>
      <c r="D34" s="101"/>
      <c r="E34" s="101"/>
      <c r="F34" s="101" t="s">
        <v>15</v>
      </c>
      <c r="G34" s="101"/>
      <c r="H34" s="101" t="s">
        <v>16</v>
      </c>
      <c r="I34" s="101"/>
      <c r="J34" s="101" t="s">
        <v>17</v>
      </c>
      <c r="K34" s="101"/>
      <c r="L34" s="101"/>
      <c r="M34" s="101"/>
      <c r="N34" s="101"/>
    </row>
  </sheetData>
  <mergeCells count="126">
    <mergeCell ref="B34:E34"/>
    <mergeCell ref="F34:G34"/>
    <mergeCell ref="H34:I34"/>
    <mergeCell ref="J34:N34"/>
    <mergeCell ref="B32:F32"/>
    <mergeCell ref="G32:J32"/>
    <mergeCell ref="K32:N32"/>
    <mergeCell ref="B33:F33"/>
    <mergeCell ref="G33:J33"/>
    <mergeCell ref="K33:N33"/>
    <mergeCell ref="C29:E29"/>
    <mergeCell ref="F29:G29"/>
    <mergeCell ref="I29:J29"/>
    <mergeCell ref="K29:N29"/>
    <mergeCell ref="C31:E31"/>
    <mergeCell ref="F31:G31"/>
    <mergeCell ref="I31:J31"/>
    <mergeCell ref="K31:N31"/>
    <mergeCell ref="C27:E27"/>
    <mergeCell ref="F27:G27"/>
    <mergeCell ref="I27:J27"/>
    <mergeCell ref="K27:N27"/>
    <mergeCell ref="C28:E28"/>
    <mergeCell ref="F28:G28"/>
    <mergeCell ref="I28:J28"/>
    <mergeCell ref="K28:N28"/>
    <mergeCell ref="I30:J30"/>
    <mergeCell ref="K30:N30"/>
    <mergeCell ref="F30:G30"/>
    <mergeCell ref="C30:E30"/>
    <mergeCell ref="C25:E25"/>
    <mergeCell ref="F25:G25"/>
    <mergeCell ref="I25:J25"/>
    <mergeCell ref="K25:N25"/>
    <mergeCell ref="C26:E26"/>
    <mergeCell ref="F26:G26"/>
    <mergeCell ref="I26:J26"/>
    <mergeCell ref="K26:N26"/>
    <mergeCell ref="C23:E23"/>
    <mergeCell ref="F23:G23"/>
    <mergeCell ref="I23:J23"/>
    <mergeCell ref="K23:N23"/>
    <mergeCell ref="C24:E24"/>
    <mergeCell ref="F24:G24"/>
    <mergeCell ref="I24:J24"/>
    <mergeCell ref="K24:N24"/>
    <mergeCell ref="C21:E21"/>
    <mergeCell ref="F21:G21"/>
    <mergeCell ref="I21:J21"/>
    <mergeCell ref="K21:N21"/>
    <mergeCell ref="C22:E22"/>
    <mergeCell ref="F22:G22"/>
    <mergeCell ref="I22:J22"/>
    <mergeCell ref="K22:N22"/>
    <mergeCell ref="C19:E19"/>
    <mergeCell ref="F19:G19"/>
    <mergeCell ref="I19:J19"/>
    <mergeCell ref="K19:N19"/>
    <mergeCell ref="C20:E20"/>
    <mergeCell ref="F20:G20"/>
    <mergeCell ref="I20:J20"/>
    <mergeCell ref="K20:N20"/>
    <mergeCell ref="C17:E17"/>
    <mergeCell ref="F17:G17"/>
    <mergeCell ref="I17:J17"/>
    <mergeCell ref="K17:N17"/>
    <mergeCell ref="C18:E18"/>
    <mergeCell ref="F18:G18"/>
    <mergeCell ref="I18:J18"/>
    <mergeCell ref="K18:N18"/>
    <mergeCell ref="C15:E15"/>
    <mergeCell ref="F15:G15"/>
    <mergeCell ref="I15:J15"/>
    <mergeCell ref="K15:N15"/>
    <mergeCell ref="C16:E16"/>
    <mergeCell ref="F16:G16"/>
    <mergeCell ref="I16:J16"/>
    <mergeCell ref="K16:N16"/>
    <mergeCell ref="C13:E13"/>
    <mergeCell ref="F13:G13"/>
    <mergeCell ref="I13:J13"/>
    <mergeCell ref="K13:N13"/>
    <mergeCell ref="C14:E14"/>
    <mergeCell ref="F14:G14"/>
    <mergeCell ref="I14:J14"/>
    <mergeCell ref="K14:N14"/>
    <mergeCell ref="C11:E11"/>
    <mergeCell ref="F11:G11"/>
    <mergeCell ref="I11:J11"/>
    <mergeCell ref="K11:N11"/>
    <mergeCell ref="C12:E12"/>
    <mergeCell ref="F12:G12"/>
    <mergeCell ref="I12:J12"/>
    <mergeCell ref="K12:N12"/>
    <mergeCell ref="C9:E9"/>
    <mergeCell ref="F9:G9"/>
    <mergeCell ref="I9:J9"/>
    <mergeCell ref="K9:N9"/>
    <mergeCell ref="C10:E10"/>
    <mergeCell ref="F10:G10"/>
    <mergeCell ref="I10:J10"/>
    <mergeCell ref="K10:N10"/>
    <mergeCell ref="C7:E7"/>
    <mergeCell ref="F7:G7"/>
    <mergeCell ref="I7:J7"/>
    <mergeCell ref="K7:N7"/>
    <mergeCell ref="C8:E8"/>
    <mergeCell ref="F8:G8"/>
    <mergeCell ref="I8:J8"/>
    <mergeCell ref="K8:N8"/>
    <mergeCell ref="C5:E5"/>
    <mergeCell ref="F5:G5"/>
    <mergeCell ref="I5:J5"/>
    <mergeCell ref="K5:N5"/>
    <mergeCell ref="C6:E6"/>
    <mergeCell ref="F6:G6"/>
    <mergeCell ref="I6:J6"/>
    <mergeCell ref="K6:N6"/>
    <mergeCell ref="B2:E3"/>
    <mergeCell ref="F2:H3"/>
    <mergeCell ref="J2:K2"/>
    <mergeCell ref="M2:N2"/>
    <mergeCell ref="J3:N3"/>
    <mergeCell ref="B4:D4"/>
    <mergeCell ref="E4:F4"/>
    <mergeCell ref="J4:N4"/>
  </mergeCells>
  <printOptions horizontalCentered="1" verticalCentered="1"/>
  <pageMargins left="0" right="0.23622047244094491" top="0" bottom="0.17" header="0" footer="0.4"/>
  <pageSetup paperSize="9" scale="71" orientation="portrait" r:id="rId1"/>
  <colBreaks count="2" manualBreakCount="2">
    <brk id="1" max="1048575" man="1"/>
    <brk id="10" min="1" max="32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  <pageSetUpPr fitToPage="1"/>
  </sheetPr>
  <dimension ref="B1:N33"/>
  <sheetViews>
    <sheetView rightToLeft="1" showWhiteSpace="0" topLeftCell="B1" zoomScale="70" zoomScaleNormal="70" zoomScalePageLayoutView="40" workbookViewId="0">
      <selection activeCell="T1" sqref="T1:V1048576"/>
    </sheetView>
  </sheetViews>
  <sheetFormatPr defaultRowHeight="13.8" x14ac:dyDescent="0.25"/>
  <cols>
    <col min="2" max="2" width="5.5" customWidth="1"/>
    <col min="3" max="3" width="4.19921875" customWidth="1"/>
    <col min="4" max="4" width="7.19921875" customWidth="1"/>
    <col min="5" max="5" width="4" customWidth="1"/>
    <col min="6" max="6" width="15.59765625" customWidth="1"/>
    <col min="7" max="7" width="17.09765625" customWidth="1"/>
    <col min="8" max="8" width="19.69921875" customWidth="1"/>
    <col min="9" max="9" width="12.5" bestFit="1" customWidth="1"/>
    <col min="10" max="10" width="4.69921875" customWidth="1"/>
    <col min="11" max="11" width="13.5" customWidth="1"/>
    <col min="12" max="13" width="9.5" customWidth="1"/>
    <col min="14" max="14" width="5.09765625" customWidth="1"/>
  </cols>
  <sheetData>
    <row r="1" spans="2:14" ht="14.4" thickBot="1" x14ac:dyDescent="0.3"/>
    <row r="2" spans="2:14" ht="24.6" customHeight="1" thickBot="1" x14ac:dyDescent="0.8">
      <c r="B2" s="81"/>
      <c r="C2" s="81"/>
      <c r="D2" s="81"/>
      <c r="E2" s="81"/>
      <c r="F2" s="82" t="s">
        <v>18</v>
      </c>
      <c r="G2" s="82"/>
      <c r="H2" s="82"/>
      <c r="I2" s="74" t="s">
        <v>0</v>
      </c>
      <c r="J2" s="83"/>
      <c r="K2" s="84"/>
      <c r="L2" s="74" t="s">
        <v>1</v>
      </c>
      <c r="M2" s="83"/>
      <c r="N2" s="84"/>
    </row>
    <row r="3" spans="2:14" ht="34.950000000000003" customHeight="1" thickBot="1" x14ac:dyDescent="0.3">
      <c r="B3" s="81"/>
      <c r="C3" s="81"/>
      <c r="D3" s="81"/>
      <c r="E3" s="81"/>
      <c r="F3" s="82"/>
      <c r="G3" s="82"/>
      <c r="H3" s="82"/>
      <c r="I3" s="9" t="s">
        <v>4</v>
      </c>
      <c r="J3" s="85"/>
      <c r="K3" s="85"/>
      <c r="L3" s="85"/>
      <c r="M3" s="85"/>
      <c r="N3" s="86"/>
    </row>
    <row r="4" spans="2:14" ht="24" thickBot="1" x14ac:dyDescent="0.8">
      <c r="B4" s="87" t="s">
        <v>2</v>
      </c>
      <c r="C4" s="87"/>
      <c r="D4" s="88"/>
      <c r="E4" s="84"/>
      <c r="F4" s="89"/>
      <c r="G4" s="74" t="s">
        <v>3</v>
      </c>
      <c r="H4" s="2" t="s">
        <v>239</v>
      </c>
      <c r="I4" s="74" t="s">
        <v>5</v>
      </c>
      <c r="J4" s="83"/>
      <c r="K4" s="83"/>
      <c r="L4" s="83"/>
      <c r="M4" s="83"/>
      <c r="N4" s="84"/>
    </row>
    <row r="5" spans="2:14" s="1" customFormat="1" ht="29.4" customHeight="1" thickBot="1" x14ac:dyDescent="0.3">
      <c r="B5" s="73" t="s">
        <v>6</v>
      </c>
      <c r="C5" s="100" t="s">
        <v>7</v>
      </c>
      <c r="D5" s="100"/>
      <c r="E5" s="100"/>
      <c r="F5" s="100" t="s">
        <v>8</v>
      </c>
      <c r="G5" s="100"/>
      <c r="H5" s="73" t="s">
        <v>9</v>
      </c>
      <c r="I5" s="97" t="s">
        <v>10</v>
      </c>
      <c r="J5" s="99"/>
      <c r="K5" s="97" t="s">
        <v>11</v>
      </c>
      <c r="L5" s="98"/>
      <c r="M5" s="98"/>
      <c r="N5" s="99"/>
    </row>
    <row r="6" spans="2:14" ht="27.6" thickBot="1" x14ac:dyDescent="1.05">
      <c r="B6" s="6">
        <v>2</v>
      </c>
      <c r="C6" s="90">
        <v>45118</v>
      </c>
      <c r="D6" s="91"/>
      <c r="E6" s="92"/>
      <c r="F6" s="93" t="s">
        <v>299</v>
      </c>
      <c r="G6" s="93"/>
      <c r="H6" s="4">
        <v>6000000</v>
      </c>
      <c r="I6" s="94">
        <v>592</v>
      </c>
      <c r="J6" s="95"/>
      <c r="K6" s="94"/>
      <c r="L6" s="96"/>
      <c r="M6" s="96"/>
      <c r="N6" s="95"/>
    </row>
    <row r="7" spans="2:14" ht="27.6" thickBot="1" x14ac:dyDescent="1.05">
      <c r="B7" s="6">
        <v>3</v>
      </c>
      <c r="C7" s="90">
        <v>45120</v>
      </c>
      <c r="D7" s="91"/>
      <c r="E7" s="92"/>
      <c r="F7" s="93" t="s">
        <v>59</v>
      </c>
      <c r="G7" s="93"/>
      <c r="H7" s="4">
        <v>3820000</v>
      </c>
      <c r="I7" s="94">
        <v>593</v>
      </c>
      <c r="J7" s="95"/>
      <c r="K7" s="94"/>
      <c r="L7" s="96"/>
      <c r="M7" s="96"/>
      <c r="N7" s="95"/>
    </row>
    <row r="8" spans="2:14" s="1" customFormat="1" ht="27.6" thickBot="1" x14ac:dyDescent="0.35">
      <c r="B8" s="14">
        <v>4</v>
      </c>
      <c r="C8" s="90">
        <v>45122</v>
      </c>
      <c r="D8" s="91"/>
      <c r="E8" s="92"/>
      <c r="F8" s="93" t="s">
        <v>59</v>
      </c>
      <c r="G8" s="93"/>
      <c r="H8" s="4">
        <v>3820000</v>
      </c>
      <c r="I8" s="94">
        <v>594</v>
      </c>
      <c r="J8" s="95"/>
      <c r="K8" s="97"/>
      <c r="L8" s="98"/>
      <c r="M8" s="98"/>
      <c r="N8" s="99"/>
    </row>
    <row r="9" spans="2:14" ht="27.6" thickBot="1" x14ac:dyDescent="1.05">
      <c r="B9" s="6">
        <v>5</v>
      </c>
      <c r="C9" s="90">
        <v>45122</v>
      </c>
      <c r="D9" s="91"/>
      <c r="E9" s="92"/>
      <c r="F9" s="93" t="s">
        <v>21</v>
      </c>
      <c r="G9" s="93"/>
      <c r="H9" s="4">
        <v>1250000</v>
      </c>
      <c r="I9" s="94">
        <v>595</v>
      </c>
      <c r="J9" s="95"/>
      <c r="K9" s="94"/>
      <c r="L9" s="96"/>
      <c r="M9" s="96"/>
      <c r="N9" s="95"/>
    </row>
    <row r="10" spans="2:14" ht="27.6" thickBot="1" x14ac:dyDescent="1.05">
      <c r="B10" s="6">
        <v>6</v>
      </c>
      <c r="C10" s="90">
        <v>45118</v>
      </c>
      <c r="D10" s="91"/>
      <c r="E10" s="92"/>
      <c r="F10" s="93" t="s">
        <v>41</v>
      </c>
      <c r="G10" s="93"/>
      <c r="H10" s="4">
        <v>1200000</v>
      </c>
      <c r="I10" s="94">
        <v>596</v>
      </c>
      <c r="J10" s="95"/>
      <c r="K10" s="94"/>
      <c r="L10" s="96"/>
      <c r="M10" s="96"/>
      <c r="N10" s="95"/>
    </row>
    <row r="11" spans="2:14" ht="27.6" thickBot="1" x14ac:dyDescent="1.05">
      <c r="B11" s="6">
        <v>7</v>
      </c>
      <c r="C11" s="90">
        <v>45119</v>
      </c>
      <c r="D11" s="91"/>
      <c r="E11" s="92"/>
      <c r="F11" s="93" t="s">
        <v>351</v>
      </c>
      <c r="G11" s="93"/>
      <c r="H11" s="4">
        <v>600000</v>
      </c>
      <c r="I11" s="94">
        <v>597</v>
      </c>
      <c r="J11" s="95"/>
      <c r="K11" s="94"/>
      <c r="L11" s="96"/>
      <c r="M11" s="96"/>
      <c r="N11" s="95"/>
    </row>
    <row r="12" spans="2:14" ht="27.6" thickBot="1" x14ac:dyDescent="1.05">
      <c r="B12" s="6">
        <v>8</v>
      </c>
      <c r="C12" s="90">
        <v>45118</v>
      </c>
      <c r="D12" s="91"/>
      <c r="E12" s="92"/>
      <c r="F12" s="93" t="s">
        <v>352</v>
      </c>
      <c r="G12" s="93"/>
      <c r="H12" s="4">
        <v>600000</v>
      </c>
      <c r="I12" s="94">
        <v>598</v>
      </c>
      <c r="J12" s="95"/>
      <c r="K12" s="94"/>
      <c r="L12" s="96"/>
      <c r="M12" s="96"/>
      <c r="N12" s="95"/>
    </row>
    <row r="13" spans="2:14" ht="27.6" thickBot="1" x14ac:dyDescent="1.05">
      <c r="B13" s="6">
        <v>9</v>
      </c>
      <c r="C13" s="90">
        <v>45122</v>
      </c>
      <c r="D13" s="91"/>
      <c r="E13" s="92"/>
      <c r="F13" s="93" t="s">
        <v>95</v>
      </c>
      <c r="G13" s="93"/>
      <c r="H13" s="4">
        <v>1350000</v>
      </c>
      <c r="I13" s="94">
        <v>599</v>
      </c>
      <c r="J13" s="95"/>
      <c r="K13" s="94"/>
      <c r="L13" s="96"/>
      <c r="M13" s="96"/>
      <c r="N13" s="95"/>
    </row>
    <row r="14" spans="2:14" ht="27.6" thickBot="1" x14ac:dyDescent="1.05">
      <c r="B14" s="6">
        <v>10</v>
      </c>
      <c r="C14" s="90">
        <v>45123</v>
      </c>
      <c r="D14" s="91"/>
      <c r="E14" s="92"/>
      <c r="F14" s="93" t="s">
        <v>97</v>
      </c>
      <c r="G14" s="93"/>
      <c r="H14" s="4">
        <v>459000</v>
      </c>
      <c r="I14" s="94">
        <v>600</v>
      </c>
      <c r="J14" s="95"/>
      <c r="K14" s="94"/>
      <c r="L14" s="96"/>
      <c r="M14" s="96"/>
      <c r="N14" s="95"/>
    </row>
    <row r="15" spans="2:14" ht="27.6" thickBot="1" x14ac:dyDescent="1.05">
      <c r="B15" s="6">
        <v>11</v>
      </c>
      <c r="C15" s="90">
        <v>45123</v>
      </c>
      <c r="D15" s="91"/>
      <c r="E15" s="92"/>
      <c r="F15" s="93" t="s">
        <v>346</v>
      </c>
      <c r="G15" s="93"/>
      <c r="H15" s="4">
        <v>8000000</v>
      </c>
      <c r="I15" s="94">
        <v>601</v>
      </c>
      <c r="J15" s="95"/>
      <c r="K15" s="94"/>
      <c r="L15" s="96"/>
      <c r="M15" s="96"/>
      <c r="N15" s="95"/>
    </row>
    <row r="16" spans="2:14" ht="27.6" thickBot="1" x14ac:dyDescent="1.05">
      <c r="B16" s="6">
        <v>12</v>
      </c>
      <c r="C16" s="90">
        <v>45124</v>
      </c>
      <c r="D16" s="91"/>
      <c r="E16" s="92"/>
      <c r="F16" s="93" t="s">
        <v>182</v>
      </c>
      <c r="G16" s="93"/>
      <c r="H16" s="4">
        <v>2000000</v>
      </c>
      <c r="I16" s="94">
        <v>602</v>
      </c>
      <c r="J16" s="95"/>
      <c r="K16" s="94"/>
      <c r="L16" s="96"/>
      <c r="M16" s="96"/>
      <c r="N16" s="95"/>
    </row>
    <row r="17" spans="2:14" ht="27.6" thickBot="1" x14ac:dyDescent="1.05">
      <c r="B17" s="6">
        <v>13</v>
      </c>
      <c r="C17" s="90">
        <v>45125</v>
      </c>
      <c r="D17" s="91"/>
      <c r="E17" s="92"/>
      <c r="F17" s="93" t="s">
        <v>346</v>
      </c>
      <c r="G17" s="93"/>
      <c r="H17" s="4">
        <v>16000000</v>
      </c>
      <c r="I17" s="94">
        <v>603</v>
      </c>
      <c r="J17" s="95"/>
      <c r="K17" s="94"/>
      <c r="L17" s="96"/>
      <c r="M17" s="96"/>
      <c r="N17" s="95"/>
    </row>
    <row r="18" spans="2:14" ht="27.6" thickBot="1" x14ac:dyDescent="1.05">
      <c r="B18" s="6">
        <v>14</v>
      </c>
      <c r="C18" s="90">
        <v>45126</v>
      </c>
      <c r="D18" s="91"/>
      <c r="E18" s="92"/>
      <c r="F18" s="93" t="s">
        <v>182</v>
      </c>
      <c r="G18" s="93"/>
      <c r="H18" s="4">
        <v>4000000</v>
      </c>
      <c r="I18" s="94">
        <v>604</v>
      </c>
      <c r="J18" s="95"/>
      <c r="K18" s="94"/>
      <c r="L18" s="96"/>
      <c r="M18" s="96"/>
      <c r="N18" s="95"/>
    </row>
    <row r="19" spans="2:14" ht="27.6" thickBot="1" x14ac:dyDescent="1.05">
      <c r="B19" s="6">
        <v>15</v>
      </c>
      <c r="C19" s="90">
        <v>45126</v>
      </c>
      <c r="D19" s="91"/>
      <c r="E19" s="92"/>
      <c r="F19" s="93" t="s">
        <v>182</v>
      </c>
      <c r="G19" s="93"/>
      <c r="H19" s="4">
        <v>4000000</v>
      </c>
      <c r="I19" s="94">
        <v>605</v>
      </c>
      <c r="J19" s="95"/>
      <c r="K19" s="94"/>
      <c r="L19" s="96"/>
      <c r="M19" s="96"/>
      <c r="N19" s="95"/>
    </row>
    <row r="20" spans="2:14" ht="27.6" thickBot="1" x14ac:dyDescent="1.05">
      <c r="B20" s="6">
        <v>16</v>
      </c>
      <c r="C20" s="90">
        <v>45126</v>
      </c>
      <c r="D20" s="91"/>
      <c r="E20" s="92"/>
      <c r="F20" s="93" t="s">
        <v>182</v>
      </c>
      <c r="G20" s="93"/>
      <c r="H20" s="4">
        <v>4000000</v>
      </c>
      <c r="I20" s="94">
        <v>606</v>
      </c>
      <c r="J20" s="95"/>
      <c r="K20" s="94"/>
      <c r="L20" s="96"/>
      <c r="M20" s="96"/>
      <c r="N20" s="95"/>
    </row>
    <row r="21" spans="2:14" ht="27.6" thickBot="1" x14ac:dyDescent="1.05">
      <c r="B21" s="6">
        <v>17</v>
      </c>
      <c r="C21" s="90">
        <v>45129</v>
      </c>
      <c r="D21" s="91"/>
      <c r="E21" s="92"/>
      <c r="F21" s="93" t="s">
        <v>353</v>
      </c>
      <c r="G21" s="93"/>
      <c r="H21" s="4">
        <v>3500000</v>
      </c>
      <c r="I21" s="94">
        <v>607</v>
      </c>
      <c r="J21" s="95"/>
      <c r="K21" s="94"/>
      <c r="L21" s="96"/>
      <c r="M21" s="96"/>
      <c r="N21" s="95"/>
    </row>
    <row r="22" spans="2:14" ht="27.6" thickBot="1" x14ac:dyDescent="1.05">
      <c r="B22" s="6">
        <v>18</v>
      </c>
      <c r="C22" s="90">
        <v>45129</v>
      </c>
      <c r="D22" s="91"/>
      <c r="E22" s="92"/>
      <c r="F22" s="93" t="s">
        <v>354</v>
      </c>
      <c r="G22" s="93"/>
      <c r="H22" s="4">
        <v>6000000</v>
      </c>
      <c r="I22" s="94">
        <v>608</v>
      </c>
      <c r="J22" s="95"/>
      <c r="K22" s="94"/>
      <c r="L22" s="96"/>
      <c r="M22" s="96"/>
      <c r="N22" s="95"/>
    </row>
    <row r="23" spans="2:14" ht="27.6" thickBot="1" x14ac:dyDescent="1.05">
      <c r="B23" s="6">
        <v>19</v>
      </c>
      <c r="C23" s="90">
        <v>45129</v>
      </c>
      <c r="D23" s="91"/>
      <c r="E23" s="92"/>
      <c r="F23" s="93" t="s">
        <v>144</v>
      </c>
      <c r="G23" s="93"/>
      <c r="H23" s="4">
        <v>1000000</v>
      </c>
      <c r="I23" s="94">
        <v>609</v>
      </c>
      <c r="J23" s="95"/>
      <c r="K23" s="94"/>
      <c r="L23" s="96"/>
      <c r="M23" s="96"/>
      <c r="N23" s="95"/>
    </row>
    <row r="24" spans="2:14" ht="27.6" thickBot="1" x14ac:dyDescent="1.05">
      <c r="B24" s="6">
        <v>20</v>
      </c>
      <c r="C24" s="90">
        <v>45130</v>
      </c>
      <c r="D24" s="91"/>
      <c r="E24" s="92"/>
      <c r="F24" s="93" t="s">
        <v>355</v>
      </c>
      <c r="G24" s="93"/>
      <c r="H24" s="4">
        <v>13900000</v>
      </c>
      <c r="I24" s="94">
        <v>610</v>
      </c>
      <c r="J24" s="95"/>
      <c r="K24" s="94"/>
      <c r="L24" s="96"/>
      <c r="M24" s="96"/>
      <c r="N24" s="95"/>
    </row>
    <row r="25" spans="2:14" ht="27.6" thickBot="1" x14ac:dyDescent="1.05">
      <c r="B25" s="6">
        <v>21</v>
      </c>
      <c r="C25" s="90">
        <v>45124</v>
      </c>
      <c r="D25" s="91"/>
      <c r="E25" s="92"/>
      <c r="F25" s="93" t="s">
        <v>356</v>
      </c>
      <c r="G25" s="93"/>
      <c r="H25" s="4">
        <v>29600000</v>
      </c>
      <c r="I25" s="94">
        <v>611</v>
      </c>
      <c r="J25" s="95"/>
      <c r="K25" s="94"/>
      <c r="L25" s="96"/>
      <c r="M25" s="96"/>
      <c r="N25" s="95"/>
    </row>
    <row r="26" spans="2:14" ht="27.6" thickBot="1" x14ac:dyDescent="1.05">
      <c r="B26" s="6">
        <v>22</v>
      </c>
      <c r="C26" s="90">
        <v>45125</v>
      </c>
      <c r="D26" s="91"/>
      <c r="E26" s="92"/>
      <c r="F26" s="93" t="s">
        <v>21</v>
      </c>
      <c r="G26" s="93"/>
      <c r="H26" s="4">
        <v>1300000</v>
      </c>
      <c r="I26" s="94">
        <v>612</v>
      </c>
      <c r="J26" s="95"/>
      <c r="K26" s="94"/>
      <c r="L26" s="96"/>
      <c r="M26" s="96"/>
      <c r="N26" s="95"/>
    </row>
    <row r="27" spans="2:14" ht="27.6" thickBot="1" x14ac:dyDescent="1.05">
      <c r="B27" s="6">
        <v>23</v>
      </c>
      <c r="C27" s="90">
        <v>45125</v>
      </c>
      <c r="D27" s="91"/>
      <c r="E27" s="92"/>
      <c r="F27" s="93" t="s">
        <v>151</v>
      </c>
      <c r="G27" s="93"/>
      <c r="H27" s="4">
        <v>11000000</v>
      </c>
      <c r="I27" s="94">
        <v>613</v>
      </c>
      <c r="J27" s="95"/>
      <c r="K27" s="94"/>
      <c r="L27" s="96"/>
      <c r="M27" s="96"/>
      <c r="N27" s="95"/>
    </row>
    <row r="28" spans="2:14" ht="27.6" thickBot="1" x14ac:dyDescent="1.05">
      <c r="B28" s="6">
        <v>24</v>
      </c>
      <c r="C28" s="90">
        <v>45126</v>
      </c>
      <c r="D28" s="91"/>
      <c r="E28" s="92"/>
      <c r="F28" s="93" t="s">
        <v>365</v>
      </c>
      <c r="G28" s="93"/>
      <c r="H28" s="4">
        <v>1440000</v>
      </c>
      <c r="I28" s="94">
        <v>614</v>
      </c>
      <c r="J28" s="95"/>
      <c r="K28" s="94"/>
      <c r="L28" s="96"/>
      <c r="M28" s="96"/>
      <c r="N28" s="95"/>
    </row>
    <row r="29" spans="2:14" ht="27.6" thickBot="1" x14ac:dyDescent="1.05">
      <c r="B29" s="6">
        <v>25</v>
      </c>
      <c r="C29" s="90">
        <v>45126</v>
      </c>
      <c r="D29" s="91"/>
      <c r="E29" s="92"/>
      <c r="F29" s="94" t="s">
        <v>357</v>
      </c>
      <c r="G29" s="95"/>
      <c r="H29" s="4">
        <v>1750000</v>
      </c>
      <c r="I29" s="94">
        <v>615</v>
      </c>
      <c r="J29" s="95"/>
      <c r="K29" s="94"/>
      <c r="L29" s="96"/>
      <c r="M29" s="96"/>
      <c r="N29" s="95"/>
    </row>
    <row r="30" spans="2:14" ht="27.6" thickBot="1" x14ac:dyDescent="1.05">
      <c r="B30" s="6">
        <v>26</v>
      </c>
      <c r="C30" s="90">
        <v>45127</v>
      </c>
      <c r="D30" s="91"/>
      <c r="E30" s="92"/>
      <c r="F30" s="94" t="s">
        <v>358</v>
      </c>
      <c r="G30" s="95"/>
      <c r="H30" s="4">
        <v>2800000</v>
      </c>
      <c r="I30" s="94">
        <v>616</v>
      </c>
      <c r="J30" s="95"/>
      <c r="K30" s="112"/>
      <c r="L30" s="113"/>
      <c r="M30" s="113"/>
      <c r="N30" s="114"/>
    </row>
    <row r="31" spans="2:14" s="1" customFormat="1" ht="29.4" customHeight="1" thickTop="1" thickBot="1" x14ac:dyDescent="0.3">
      <c r="B31" s="102" t="s">
        <v>12</v>
      </c>
      <c r="C31" s="102"/>
      <c r="D31" s="102"/>
      <c r="E31" s="102"/>
      <c r="F31" s="102"/>
      <c r="G31" s="103">
        <f>SUM(H6:H30)</f>
        <v>129389000</v>
      </c>
      <c r="H31" s="104"/>
      <c r="I31" s="104"/>
      <c r="J31" s="105"/>
      <c r="K31" s="106"/>
      <c r="L31" s="107"/>
      <c r="M31" s="107"/>
      <c r="N31" s="108"/>
    </row>
    <row r="32" spans="2:14" s="1" customFormat="1" ht="29.4" customHeight="1" thickBot="1" x14ac:dyDescent="0.3">
      <c r="B32" s="100" t="s">
        <v>13</v>
      </c>
      <c r="C32" s="100"/>
      <c r="D32" s="100"/>
      <c r="E32" s="100"/>
      <c r="F32" s="100"/>
      <c r="G32" s="109"/>
      <c r="H32" s="110"/>
      <c r="I32" s="110"/>
      <c r="J32" s="111"/>
      <c r="K32" s="97"/>
      <c r="L32" s="98"/>
      <c r="M32" s="98"/>
      <c r="N32" s="99"/>
    </row>
    <row r="33" spans="2:14" ht="82.2" customHeight="1" thickBot="1" x14ac:dyDescent="0.3">
      <c r="B33" s="101" t="s">
        <v>14</v>
      </c>
      <c r="C33" s="101"/>
      <c r="D33" s="101"/>
      <c r="E33" s="101"/>
      <c r="F33" s="101" t="s">
        <v>15</v>
      </c>
      <c r="G33" s="101"/>
      <c r="H33" s="101" t="s">
        <v>16</v>
      </c>
      <c r="I33" s="101"/>
      <c r="J33" s="101" t="s">
        <v>17</v>
      </c>
      <c r="K33" s="101"/>
      <c r="L33" s="101"/>
      <c r="M33" s="101"/>
      <c r="N33" s="101"/>
    </row>
  </sheetData>
  <mergeCells count="122">
    <mergeCell ref="B33:E33"/>
    <mergeCell ref="F33:G33"/>
    <mergeCell ref="H33:I33"/>
    <mergeCell ref="J33:N33"/>
    <mergeCell ref="B31:F31"/>
    <mergeCell ref="G31:J31"/>
    <mergeCell ref="K31:N31"/>
    <mergeCell ref="B32:F32"/>
    <mergeCell ref="G32:J32"/>
    <mergeCell ref="K32:N32"/>
    <mergeCell ref="C29:E29"/>
    <mergeCell ref="F29:G29"/>
    <mergeCell ref="I29:J29"/>
    <mergeCell ref="K29:N29"/>
    <mergeCell ref="C30:E30"/>
    <mergeCell ref="F30:G30"/>
    <mergeCell ref="I30:J30"/>
    <mergeCell ref="K30:N30"/>
    <mergeCell ref="C27:E27"/>
    <mergeCell ref="F27:G27"/>
    <mergeCell ref="I27:J27"/>
    <mergeCell ref="K27:N27"/>
    <mergeCell ref="C28:E28"/>
    <mergeCell ref="F28:G28"/>
    <mergeCell ref="I28:J28"/>
    <mergeCell ref="K28:N28"/>
    <mergeCell ref="C25:E25"/>
    <mergeCell ref="F25:G25"/>
    <mergeCell ref="I25:J25"/>
    <mergeCell ref="K25:N25"/>
    <mergeCell ref="C26:E26"/>
    <mergeCell ref="F26:G26"/>
    <mergeCell ref="I26:J26"/>
    <mergeCell ref="K26:N26"/>
    <mergeCell ref="C23:E23"/>
    <mergeCell ref="F23:G23"/>
    <mergeCell ref="I23:J23"/>
    <mergeCell ref="K23:N23"/>
    <mergeCell ref="C24:E24"/>
    <mergeCell ref="F24:G24"/>
    <mergeCell ref="I24:J24"/>
    <mergeCell ref="K24:N24"/>
    <mergeCell ref="C21:E21"/>
    <mergeCell ref="F21:G21"/>
    <mergeCell ref="I21:J21"/>
    <mergeCell ref="K21:N21"/>
    <mergeCell ref="C22:E22"/>
    <mergeCell ref="F22:G22"/>
    <mergeCell ref="I22:J22"/>
    <mergeCell ref="K22:N22"/>
    <mergeCell ref="C19:E19"/>
    <mergeCell ref="F19:G19"/>
    <mergeCell ref="I19:J19"/>
    <mergeCell ref="K19:N19"/>
    <mergeCell ref="C20:E20"/>
    <mergeCell ref="F20:G20"/>
    <mergeCell ref="I20:J20"/>
    <mergeCell ref="K20:N20"/>
    <mergeCell ref="C17:E17"/>
    <mergeCell ref="F17:G17"/>
    <mergeCell ref="I17:J17"/>
    <mergeCell ref="K17:N17"/>
    <mergeCell ref="C18:E18"/>
    <mergeCell ref="F18:G18"/>
    <mergeCell ref="I18:J18"/>
    <mergeCell ref="K18:N18"/>
    <mergeCell ref="C15:E15"/>
    <mergeCell ref="F15:G15"/>
    <mergeCell ref="I15:J15"/>
    <mergeCell ref="K15:N15"/>
    <mergeCell ref="C16:E16"/>
    <mergeCell ref="F16:G16"/>
    <mergeCell ref="I16:J16"/>
    <mergeCell ref="K16:N16"/>
    <mergeCell ref="C13:E13"/>
    <mergeCell ref="F13:G13"/>
    <mergeCell ref="I13:J13"/>
    <mergeCell ref="K13:N13"/>
    <mergeCell ref="C14:E14"/>
    <mergeCell ref="F14:G14"/>
    <mergeCell ref="I14:J14"/>
    <mergeCell ref="K14:N14"/>
    <mergeCell ref="C11:E11"/>
    <mergeCell ref="F11:G11"/>
    <mergeCell ref="I11:J11"/>
    <mergeCell ref="K11:N11"/>
    <mergeCell ref="C12:E12"/>
    <mergeCell ref="F12:G12"/>
    <mergeCell ref="I12:J12"/>
    <mergeCell ref="K12:N12"/>
    <mergeCell ref="C9:E9"/>
    <mergeCell ref="F9:G9"/>
    <mergeCell ref="I9:J9"/>
    <mergeCell ref="K9:N9"/>
    <mergeCell ref="C10:E10"/>
    <mergeCell ref="F10:G10"/>
    <mergeCell ref="I10:J10"/>
    <mergeCell ref="K10:N10"/>
    <mergeCell ref="C7:E7"/>
    <mergeCell ref="F7:G7"/>
    <mergeCell ref="I7:J7"/>
    <mergeCell ref="K7:N7"/>
    <mergeCell ref="C8:E8"/>
    <mergeCell ref="F8:G8"/>
    <mergeCell ref="I8:J8"/>
    <mergeCell ref="K8:N8"/>
    <mergeCell ref="C5:E5"/>
    <mergeCell ref="F5:G5"/>
    <mergeCell ref="I5:J5"/>
    <mergeCell ref="K5:N5"/>
    <mergeCell ref="C6:E6"/>
    <mergeCell ref="F6:G6"/>
    <mergeCell ref="I6:J6"/>
    <mergeCell ref="K6:N6"/>
    <mergeCell ref="B2:E3"/>
    <mergeCell ref="F2:H3"/>
    <mergeCell ref="J2:K2"/>
    <mergeCell ref="M2:N2"/>
    <mergeCell ref="J3:N3"/>
    <mergeCell ref="B4:D4"/>
    <mergeCell ref="E4:F4"/>
    <mergeCell ref="J4:N4"/>
  </mergeCells>
  <printOptions horizontalCentered="1" verticalCentered="1"/>
  <pageMargins left="0" right="0.23622047244094491" top="0" bottom="0.17" header="0" footer="0.4"/>
  <pageSetup paperSize="9" scale="71" orientation="portrait" r:id="rId1"/>
  <colBreaks count="2" manualBreakCount="2">
    <brk id="1" max="1048575" man="1"/>
    <brk id="10" min="1" max="32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  <pageSetUpPr fitToPage="1"/>
  </sheetPr>
  <dimension ref="B1:N33"/>
  <sheetViews>
    <sheetView rightToLeft="1" showWhiteSpace="0" topLeftCell="B1" zoomScale="70" zoomScaleNormal="70" zoomScalePageLayoutView="40" workbookViewId="0">
      <selection activeCell="T1" sqref="T1:V1048576"/>
    </sheetView>
  </sheetViews>
  <sheetFormatPr defaultRowHeight="13.8" x14ac:dyDescent="0.25"/>
  <cols>
    <col min="2" max="2" width="5.5" customWidth="1"/>
    <col min="3" max="3" width="4.19921875" customWidth="1"/>
    <col min="4" max="4" width="7.19921875" customWidth="1"/>
    <col min="5" max="5" width="4" customWidth="1"/>
    <col min="6" max="6" width="15.59765625" customWidth="1"/>
    <col min="7" max="7" width="17.09765625" customWidth="1"/>
    <col min="8" max="8" width="19.69921875" customWidth="1"/>
    <col min="9" max="9" width="12.5" bestFit="1" customWidth="1"/>
    <col min="10" max="10" width="4.69921875" customWidth="1"/>
    <col min="11" max="11" width="13.5" customWidth="1"/>
    <col min="12" max="13" width="9.5" customWidth="1"/>
    <col min="14" max="14" width="5.09765625" customWidth="1"/>
  </cols>
  <sheetData>
    <row r="1" spans="2:14" ht="14.4" thickBot="1" x14ac:dyDescent="0.3"/>
    <row r="2" spans="2:14" ht="24.6" customHeight="1" thickBot="1" x14ac:dyDescent="0.8">
      <c r="B2" s="81"/>
      <c r="C2" s="81"/>
      <c r="D2" s="81"/>
      <c r="E2" s="81"/>
      <c r="F2" s="82" t="s">
        <v>18</v>
      </c>
      <c r="G2" s="82"/>
      <c r="H2" s="82"/>
      <c r="I2" s="72" t="s">
        <v>0</v>
      </c>
      <c r="J2" s="83"/>
      <c r="K2" s="84"/>
      <c r="L2" s="72" t="s">
        <v>1</v>
      </c>
      <c r="M2" s="83"/>
      <c r="N2" s="84"/>
    </row>
    <row r="3" spans="2:14" ht="34.950000000000003" customHeight="1" thickBot="1" x14ac:dyDescent="0.3">
      <c r="B3" s="81"/>
      <c r="C3" s="81"/>
      <c r="D3" s="81"/>
      <c r="E3" s="81"/>
      <c r="F3" s="82"/>
      <c r="G3" s="82"/>
      <c r="H3" s="82"/>
      <c r="I3" s="9" t="s">
        <v>4</v>
      </c>
      <c r="J3" s="85"/>
      <c r="K3" s="85"/>
      <c r="L3" s="85"/>
      <c r="M3" s="85"/>
      <c r="N3" s="86"/>
    </row>
    <row r="4" spans="2:14" ht="24" thickBot="1" x14ac:dyDescent="0.8">
      <c r="B4" s="87" t="s">
        <v>2</v>
      </c>
      <c r="C4" s="87"/>
      <c r="D4" s="88"/>
      <c r="E4" s="84"/>
      <c r="F4" s="89"/>
      <c r="G4" s="72" t="s">
        <v>3</v>
      </c>
      <c r="H4" s="2" t="s">
        <v>239</v>
      </c>
      <c r="I4" s="72" t="s">
        <v>5</v>
      </c>
      <c r="J4" s="83"/>
      <c r="K4" s="83"/>
      <c r="L4" s="83"/>
      <c r="M4" s="83"/>
      <c r="N4" s="84"/>
    </row>
    <row r="5" spans="2:14" s="1" customFormat="1" ht="29.4" customHeight="1" thickBot="1" x14ac:dyDescent="0.3">
      <c r="B5" s="71" t="s">
        <v>6</v>
      </c>
      <c r="C5" s="100" t="s">
        <v>7</v>
      </c>
      <c r="D5" s="100"/>
      <c r="E5" s="100"/>
      <c r="F5" s="100" t="s">
        <v>8</v>
      </c>
      <c r="G5" s="100"/>
      <c r="H5" s="71" t="s">
        <v>9</v>
      </c>
      <c r="I5" s="97" t="s">
        <v>10</v>
      </c>
      <c r="J5" s="99"/>
      <c r="K5" s="97" t="s">
        <v>11</v>
      </c>
      <c r="L5" s="98"/>
      <c r="M5" s="98"/>
      <c r="N5" s="99"/>
    </row>
    <row r="6" spans="2:14" ht="27.6" thickBot="1" x14ac:dyDescent="1.05">
      <c r="B6" s="6">
        <v>2</v>
      </c>
      <c r="C6" s="90">
        <v>45113</v>
      </c>
      <c r="D6" s="91"/>
      <c r="E6" s="92"/>
      <c r="F6" s="93" t="s">
        <v>337</v>
      </c>
      <c r="G6" s="93"/>
      <c r="H6" s="4">
        <v>3000000</v>
      </c>
      <c r="I6" s="94">
        <v>567</v>
      </c>
      <c r="J6" s="95"/>
      <c r="K6" s="94"/>
      <c r="L6" s="96"/>
      <c r="M6" s="96"/>
      <c r="N6" s="95"/>
    </row>
    <row r="7" spans="2:14" ht="27.6" thickBot="1" x14ac:dyDescent="1.05">
      <c r="B7" s="6">
        <v>3</v>
      </c>
      <c r="C7" s="90">
        <v>45115</v>
      </c>
      <c r="D7" s="91"/>
      <c r="E7" s="92"/>
      <c r="F7" s="93" t="s">
        <v>338</v>
      </c>
      <c r="G7" s="93"/>
      <c r="H7" s="4">
        <v>2180000</v>
      </c>
      <c r="I7" s="94">
        <v>568</v>
      </c>
      <c r="J7" s="95"/>
      <c r="K7" s="94"/>
      <c r="L7" s="96"/>
      <c r="M7" s="96"/>
      <c r="N7" s="95"/>
    </row>
    <row r="8" spans="2:14" s="1" customFormat="1" ht="27.6" thickBot="1" x14ac:dyDescent="0.35">
      <c r="B8" s="14">
        <v>4</v>
      </c>
      <c r="C8" s="90">
        <v>45115</v>
      </c>
      <c r="D8" s="91"/>
      <c r="E8" s="92"/>
      <c r="F8" s="93" t="s">
        <v>59</v>
      </c>
      <c r="G8" s="93"/>
      <c r="H8" s="4">
        <v>6850000</v>
      </c>
      <c r="I8" s="94">
        <v>569</v>
      </c>
      <c r="J8" s="95"/>
      <c r="K8" s="97"/>
      <c r="L8" s="98"/>
      <c r="M8" s="98"/>
      <c r="N8" s="99"/>
    </row>
    <row r="9" spans="2:14" ht="27.6" thickBot="1" x14ac:dyDescent="1.05">
      <c r="B9" s="6">
        <v>5</v>
      </c>
      <c r="C9" s="90">
        <v>45115</v>
      </c>
      <c r="D9" s="91"/>
      <c r="E9" s="92"/>
      <c r="F9" s="93" t="s">
        <v>336</v>
      </c>
      <c r="G9" s="93"/>
      <c r="H9" s="4">
        <v>1000000</v>
      </c>
      <c r="I9" s="94">
        <v>570</v>
      </c>
      <c r="J9" s="95"/>
      <c r="K9" s="94"/>
      <c r="L9" s="96"/>
      <c r="M9" s="96"/>
      <c r="N9" s="95"/>
    </row>
    <row r="10" spans="2:14" ht="27.6" thickBot="1" x14ac:dyDescent="1.05">
      <c r="B10" s="6">
        <v>6</v>
      </c>
      <c r="C10" s="90">
        <v>45115</v>
      </c>
      <c r="D10" s="91"/>
      <c r="E10" s="92"/>
      <c r="F10" s="93" t="s">
        <v>243</v>
      </c>
      <c r="G10" s="93"/>
      <c r="H10" s="4">
        <v>2500000</v>
      </c>
      <c r="I10" s="94">
        <v>571</v>
      </c>
      <c r="J10" s="95"/>
      <c r="K10" s="94"/>
      <c r="L10" s="96"/>
      <c r="M10" s="96"/>
      <c r="N10" s="95"/>
    </row>
    <row r="11" spans="2:14" ht="27.6" thickBot="1" x14ac:dyDescent="1.05">
      <c r="B11" s="6">
        <v>7</v>
      </c>
      <c r="C11" s="90">
        <v>45115</v>
      </c>
      <c r="D11" s="91"/>
      <c r="E11" s="92"/>
      <c r="F11" s="93" t="s">
        <v>339</v>
      </c>
      <c r="G11" s="93"/>
      <c r="H11" s="4">
        <v>2500000</v>
      </c>
      <c r="I11" s="94">
        <v>572</v>
      </c>
      <c r="J11" s="95"/>
      <c r="K11" s="94"/>
      <c r="L11" s="96"/>
      <c r="M11" s="96"/>
      <c r="N11" s="95"/>
    </row>
    <row r="12" spans="2:14" ht="27.6" thickBot="1" x14ac:dyDescent="1.05">
      <c r="B12" s="6">
        <v>8</v>
      </c>
      <c r="C12" s="90">
        <v>45115</v>
      </c>
      <c r="D12" s="91"/>
      <c r="E12" s="92"/>
      <c r="F12" s="93" t="s">
        <v>340</v>
      </c>
      <c r="G12" s="93"/>
      <c r="H12" s="4">
        <v>50000000</v>
      </c>
      <c r="I12" s="94">
        <v>573</v>
      </c>
      <c r="J12" s="95"/>
      <c r="K12" s="94"/>
      <c r="L12" s="96"/>
      <c r="M12" s="96"/>
      <c r="N12" s="95"/>
    </row>
    <row r="13" spans="2:14" ht="27.6" thickBot="1" x14ac:dyDescent="1.05">
      <c r="B13" s="6">
        <v>9</v>
      </c>
      <c r="C13" s="90">
        <v>45116</v>
      </c>
      <c r="D13" s="91"/>
      <c r="E13" s="92"/>
      <c r="F13" s="93" t="s">
        <v>341</v>
      </c>
      <c r="G13" s="93"/>
      <c r="H13" s="4">
        <v>1200000</v>
      </c>
      <c r="I13" s="94">
        <v>574</v>
      </c>
      <c r="J13" s="95"/>
      <c r="K13" s="94"/>
      <c r="L13" s="96"/>
      <c r="M13" s="96"/>
      <c r="N13" s="95"/>
    </row>
    <row r="14" spans="2:14" ht="27.6" thickBot="1" x14ac:dyDescent="1.05">
      <c r="B14" s="6">
        <v>10</v>
      </c>
      <c r="C14" s="90">
        <v>45116</v>
      </c>
      <c r="D14" s="91"/>
      <c r="E14" s="92"/>
      <c r="F14" s="93" t="s">
        <v>342</v>
      </c>
      <c r="G14" s="93"/>
      <c r="H14" s="4">
        <v>38300000</v>
      </c>
      <c r="I14" s="94">
        <v>575</v>
      </c>
      <c r="J14" s="95"/>
      <c r="K14" s="94"/>
      <c r="L14" s="96"/>
      <c r="M14" s="96"/>
      <c r="N14" s="95"/>
    </row>
    <row r="15" spans="2:14" ht="27.6" thickBot="1" x14ac:dyDescent="1.05">
      <c r="B15" s="6">
        <v>11</v>
      </c>
      <c r="C15" s="90">
        <v>45116</v>
      </c>
      <c r="D15" s="91"/>
      <c r="E15" s="92"/>
      <c r="F15" s="93" t="s">
        <v>343</v>
      </c>
      <c r="G15" s="93"/>
      <c r="H15" s="4">
        <v>2400000</v>
      </c>
      <c r="I15" s="94">
        <v>576</v>
      </c>
      <c r="J15" s="95"/>
      <c r="K15" s="94"/>
      <c r="L15" s="96"/>
      <c r="M15" s="96"/>
      <c r="N15" s="95"/>
    </row>
    <row r="16" spans="2:14" ht="27.6" thickBot="1" x14ac:dyDescent="1.05">
      <c r="B16" s="6">
        <v>12</v>
      </c>
      <c r="C16" s="90">
        <v>45116</v>
      </c>
      <c r="D16" s="91"/>
      <c r="E16" s="92"/>
      <c r="F16" s="93" t="s">
        <v>384</v>
      </c>
      <c r="G16" s="93"/>
      <c r="H16" s="4">
        <v>4500000</v>
      </c>
      <c r="I16" s="94">
        <v>577</v>
      </c>
      <c r="J16" s="95"/>
      <c r="K16" s="94"/>
      <c r="L16" s="96"/>
      <c r="M16" s="96"/>
      <c r="N16" s="95"/>
    </row>
    <row r="17" spans="2:14" ht="27.6" thickBot="1" x14ac:dyDescent="1.05">
      <c r="B17" s="6">
        <v>13</v>
      </c>
      <c r="C17" s="90">
        <v>45116</v>
      </c>
      <c r="D17" s="91"/>
      <c r="E17" s="92"/>
      <c r="F17" s="93" t="s">
        <v>293</v>
      </c>
      <c r="G17" s="93"/>
      <c r="H17" s="4">
        <v>30000000</v>
      </c>
      <c r="I17" s="94">
        <v>578</v>
      </c>
      <c r="J17" s="95"/>
      <c r="K17" s="94"/>
      <c r="L17" s="96"/>
      <c r="M17" s="96"/>
      <c r="N17" s="95"/>
    </row>
    <row r="18" spans="2:14" ht="27.6" thickBot="1" x14ac:dyDescent="1.05">
      <c r="B18" s="6">
        <v>14</v>
      </c>
      <c r="C18" s="90">
        <v>45116</v>
      </c>
      <c r="D18" s="91"/>
      <c r="E18" s="92"/>
      <c r="F18" s="93" t="s">
        <v>341</v>
      </c>
      <c r="G18" s="93"/>
      <c r="H18" s="4">
        <v>2500000</v>
      </c>
      <c r="I18" s="94">
        <v>579</v>
      </c>
      <c r="J18" s="95"/>
      <c r="K18" s="94"/>
      <c r="L18" s="96"/>
      <c r="M18" s="96"/>
      <c r="N18" s="95"/>
    </row>
    <row r="19" spans="2:14" ht="27.6" thickBot="1" x14ac:dyDescent="1.05">
      <c r="B19" s="6">
        <v>15</v>
      </c>
      <c r="C19" s="90">
        <v>45116</v>
      </c>
      <c r="D19" s="91"/>
      <c r="E19" s="92"/>
      <c r="F19" s="93" t="s">
        <v>344</v>
      </c>
      <c r="G19" s="93"/>
      <c r="H19" s="4">
        <v>2000000</v>
      </c>
      <c r="I19" s="94">
        <v>580</v>
      </c>
      <c r="J19" s="95"/>
      <c r="K19" s="94"/>
      <c r="L19" s="96"/>
      <c r="M19" s="96"/>
      <c r="N19" s="95"/>
    </row>
    <row r="20" spans="2:14" ht="27.6" thickBot="1" x14ac:dyDescent="1.05">
      <c r="B20" s="6">
        <v>16</v>
      </c>
      <c r="C20" s="90">
        <v>45116</v>
      </c>
      <c r="D20" s="91"/>
      <c r="E20" s="92"/>
      <c r="F20" s="93" t="s">
        <v>345</v>
      </c>
      <c r="G20" s="93"/>
      <c r="H20" s="4">
        <v>2500000</v>
      </c>
      <c r="I20" s="94">
        <v>581</v>
      </c>
      <c r="J20" s="95"/>
      <c r="K20" s="94"/>
      <c r="L20" s="96"/>
      <c r="M20" s="96"/>
      <c r="N20" s="95"/>
    </row>
    <row r="21" spans="2:14" ht="27.6" thickBot="1" x14ac:dyDescent="1.05">
      <c r="B21" s="6">
        <v>17</v>
      </c>
      <c r="C21" s="90">
        <v>45117</v>
      </c>
      <c r="D21" s="91"/>
      <c r="E21" s="92"/>
      <c r="F21" s="93" t="s">
        <v>303</v>
      </c>
      <c r="G21" s="93"/>
      <c r="H21" s="4">
        <v>2500000</v>
      </c>
      <c r="I21" s="94">
        <v>582</v>
      </c>
      <c r="J21" s="95"/>
      <c r="K21" s="94"/>
      <c r="L21" s="96"/>
      <c r="M21" s="96"/>
      <c r="N21" s="95"/>
    </row>
    <row r="22" spans="2:14" ht="27.6" thickBot="1" x14ac:dyDescent="1.05">
      <c r="B22" s="6">
        <v>18</v>
      </c>
      <c r="C22" s="90">
        <v>45119</v>
      </c>
      <c r="D22" s="91"/>
      <c r="E22" s="92"/>
      <c r="F22" s="93" t="s">
        <v>296</v>
      </c>
      <c r="G22" s="93"/>
      <c r="H22" s="4">
        <v>2500000</v>
      </c>
      <c r="I22" s="94">
        <v>583</v>
      </c>
      <c r="J22" s="95"/>
      <c r="K22" s="94"/>
      <c r="L22" s="96"/>
      <c r="M22" s="96"/>
      <c r="N22" s="95"/>
    </row>
    <row r="23" spans="2:14" ht="27.6" thickBot="1" x14ac:dyDescent="1.05">
      <c r="B23" s="6">
        <v>19</v>
      </c>
      <c r="C23" s="90">
        <v>45119</v>
      </c>
      <c r="D23" s="91"/>
      <c r="E23" s="92"/>
      <c r="F23" s="93" t="s">
        <v>243</v>
      </c>
      <c r="G23" s="93"/>
      <c r="H23" s="4">
        <v>2500000</v>
      </c>
      <c r="I23" s="94">
        <v>584</v>
      </c>
      <c r="J23" s="95"/>
      <c r="K23" s="94"/>
      <c r="L23" s="96"/>
      <c r="M23" s="96"/>
      <c r="N23" s="95"/>
    </row>
    <row r="24" spans="2:14" ht="27.6" thickBot="1" x14ac:dyDescent="1.05">
      <c r="B24" s="6">
        <v>20</v>
      </c>
      <c r="C24" s="90">
        <v>45119</v>
      </c>
      <c r="D24" s="91"/>
      <c r="E24" s="92"/>
      <c r="F24" s="93" t="s">
        <v>346</v>
      </c>
      <c r="G24" s="93"/>
      <c r="H24" s="4">
        <v>9500000</v>
      </c>
      <c r="I24" s="94">
        <v>585</v>
      </c>
      <c r="J24" s="95"/>
      <c r="K24" s="94"/>
      <c r="L24" s="96"/>
      <c r="M24" s="96"/>
      <c r="N24" s="95"/>
    </row>
    <row r="25" spans="2:14" ht="27.6" thickBot="1" x14ac:dyDescent="1.05">
      <c r="B25" s="6">
        <v>21</v>
      </c>
      <c r="C25" s="90">
        <v>45120</v>
      </c>
      <c r="D25" s="91"/>
      <c r="E25" s="92"/>
      <c r="F25" s="93" t="s">
        <v>347</v>
      </c>
      <c r="G25" s="93"/>
      <c r="H25" s="4">
        <v>1500000</v>
      </c>
      <c r="I25" s="94">
        <v>586</v>
      </c>
      <c r="J25" s="95"/>
      <c r="K25" s="94"/>
      <c r="L25" s="96"/>
      <c r="M25" s="96"/>
      <c r="N25" s="95"/>
    </row>
    <row r="26" spans="2:14" ht="27.6" thickBot="1" x14ac:dyDescent="1.05">
      <c r="B26" s="6">
        <v>22</v>
      </c>
      <c r="C26" s="90">
        <v>45120</v>
      </c>
      <c r="D26" s="91"/>
      <c r="E26" s="92"/>
      <c r="F26" s="93" t="s">
        <v>348</v>
      </c>
      <c r="G26" s="93"/>
      <c r="H26" s="4">
        <v>3500000</v>
      </c>
      <c r="I26" s="94">
        <v>587</v>
      </c>
      <c r="J26" s="95"/>
      <c r="K26" s="94"/>
      <c r="L26" s="96"/>
      <c r="M26" s="96"/>
      <c r="N26" s="95"/>
    </row>
    <row r="27" spans="2:14" ht="27.6" thickBot="1" x14ac:dyDescent="1.05">
      <c r="B27" s="6">
        <v>23</v>
      </c>
      <c r="C27" s="90">
        <v>45120</v>
      </c>
      <c r="D27" s="91"/>
      <c r="E27" s="92"/>
      <c r="F27" s="93" t="s">
        <v>349</v>
      </c>
      <c r="G27" s="93"/>
      <c r="H27" s="4">
        <v>1100000</v>
      </c>
      <c r="I27" s="94">
        <v>588</v>
      </c>
      <c r="J27" s="95"/>
      <c r="K27" s="94"/>
      <c r="L27" s="96"/>
      <c r="M27" s="96"/>
      <c r="N27" s="95"/>
    </row>
    <row r="28" spans="2:14" ht="27.6" thickBot="1" x14ac:dyDescent="1.05">
      <c r="B28" s="6">
        <v>24</v>
      </c>
      <c r="C28" s="90">
        <v>45118</v>
      </c>
      <c r="D28" s="91"/>
      <c r="E28" s="92"/>
      <c r="F28" s="93" t="s">
        <v>21</v>
      </c>
      <c r="G28" s="93"/>
      <c r="H28" s="4">
        <v>1280000</v>
      </c>
      <c r="I28" s="94">
        <v>589</v>
      </c>
      <c r="J28" s="95"/>
      <c r="K28" s="94"/>
      <c r="L28" s="96"/>
      <c r="M28" s="96"/>
      <c r="N28" s="95"/>
    </row>
    <row r="29" spans="2:14" ht="27.6" thickBot="1" x14ac:dyDescent="1.05">
      <c r="B29" s="6">
        <v>25</v>
      </c>
      <c r="C29" s="90">
        <v>45118</v>
      </c>
      <c r="D29" s="91"/>
      <c r="E29" s="92"/>
      <c r="F29" s="94" t="s">
        <v>350</v>
      </c>
      <c r="G29" s="95"/>
      <c r="H29" s="4">
        <v>5870000</v>
      </c>
      <c r="I29" s="94">
        <v>590</v>
      </c>
      <c r="J29" s="95"/>
      <c r="K29" s="94"/>
      <c r="L29" s="96"/>
      <c r="M29" s="96"/>
      <c r="N29" s="95"/>
    </row>
    <row r="30" spans="2:14" ht="27.6" thickBot="1" x14ac:dyDescent="1.05">
      <c r="B30" s="6">
        <v>26</v>
      </c>
      <c r="C30" s="90">
        <v>45118</v>
      </c>
      <c r="D30" s="91"/>
      <c r="E30" s="92"/>
      <c r="F30" s="94" t="s">
        <v>95</v>
      </c>
      <c r="G30" s="95"/>
      <c r="H30" s="4">
        <v>1200000</v>
      </c>
      <c r="I30" s="94">
        <v>591</v>
      </c>
      <c r="J30" s="95"/>
      <c r="K30" s="112"/>
      <c r="L30" s="113"/>
      <c r="M30" s="113"/>
      <c r="N30" s="114"/>
    </row>
    <row r="31" spans="2:14" s="1" customFormat="1" ht="29.4" customHeight="1" thickTop="1" thickBot="1" x14ac:dyDescent="0.3">
      <c r="B31" s="102" t="s">
        <v>12</v>
      </c>
      <c r="C31" s="102"/>
      <c r="D31" s="102"/>
      <c r="E31" s="102"/>
      <c r="F31" s="102"/>
      <c r="G31" s="103">
        <f>SUM(H6:H30)</f>
        <v>182880000</v>
      </c>
      <c r="H31" s="104"/>
      <c r="I31" s="104"/>
      <c r="J31" s="105"/>
      <c r="K31" s="106"/>
      <c r="L31" s="107"/>
      <c r="M31" s="107"/>
      <c r="N31" s="108"/>
    </row>
    <row r="32" spans="2:14" s="1" customFormat="1" ht="29.4" customHeight="1" thickBot="1" x14ac:dyDescent="0.3">
      <c r="B32" s="100" t="s">
        <v>13</v>
      </c>
      <c r="C32" s="100"/>
      <c r="D32" s="100"/>
      <c r="E32" s="100"/>
      <c r="F32" s="100"/>
      <c r="G32" s="109"/>
      <c r="H32" s="110"/>
      <c r="I32" s="110"/>
      <c r="J32" s="111"/>
      <c r="K32" s="97"/>
      <c r="L32" s="98"/>
      <c r="M32" s="98"/>
      <c r="N32" s="99"/>
    </row>
    <row r="33" spans="2:14" ht="82.2" customHeight="1" thickBot="1" x14ac:dyDescent="0.3">
      <c r="B33" s="101" t="s">
        <v>14</v>
      </c>
      <c r="C33" s="101"/>
      <c r="D33" s="101"/>
      <c r="E33" s="101"/>
      <c r="F33" s="101" t="s">
        <v>15</v>
      </c>
      <c r="G33" s="101"/>
      <c r="H33" s="101" t="s">
        <v>16</v>
      </c>
      <c r="I33" s="101"/>
      <c r="J33" s="101" t="s">
        <v>17</v>
      </c>
      <c r="K33" s="101"/>
      <c r="L33" s="101"/>
      <c r="M33" s="101"/>
      <c r="N33" s="101"/>
    </row>
  </sheetData>
  <mergeCells count="122">
    <mergeCell ref="C5:E5"/>
    <mergeCell ref="F5:G5"/>
    <mergeCell ref="I5:J5"/>
    <mergeCell ref="K5:N5"/>
    <mergeCell ref="C6:E6"/>
    <mergeCell ref="F6:G6"/>
    <mergeCell ref="I6:J6"/>
    <mergeCell ref="K6:N6"/>
    <mergeCell ref="B2:E3"/>
    <mergeCell ref="F2:H3"/>
    <mergeCell ref="J2:K2"/>
    <mergeCell ref="M2:N2"/>
    <mergeCell ref="J3:N3"/>
    <mergeCell ref="B4:D4"/>
    <mergeCell ref="E4:F4"/>
    <mergeCell ref="J4:N4"/>
    <mergeCell ref="C9:E9"/>
    <mergeCell ref="F9:G9"/>
    <mergeCell ref="I9:J9"/>
    <mergeCell ref="K9:N9"/>
    <mergeCell ref="C10:E10"/>
    <mergeCell ref="F10:G10"/>
    <mergeCell ref="I10:J10"/>
    <mergeCell ref="K10:N10"/>
    <mergeCell ref="C7:E7"/>
    <mergeCell ref="F7:G7"/>
    <mergeCell ref="I7:J7"/>
    <mergeCell ref="K7:N7"/>
    <mergeCell ref="C8:E8"/>
    <mergeCell ref="F8:G8"/>
    <mergeCell ref="I8:J8"/>
    <mergeCell ref="K8:N8"/>
    <mergeCell ref="C13:E13"/>
    <mergeCell ref="F13:G13"/>
    <mergeCell ref="I13:J13"/>
    <mergeCell ref="K13:N13"/>
    <mergeCell ref="C14:E14"/>
    <mergeCell ref="F14:G14"/>
    <mergeCell ref="I14:J14"/>
    <mergeCell ref="K14:N14"/>
    <mergeCell ref="C11:E11"/>
    <mergeCell ref="F11:G11"/>
    <mergeCell ref="I11:J11"/>
    <mergeCell ref="K11:N11"/>
    <mergeCell ref="C12:E12"/>
    <mergeCell ref="F12:G12"/>
    <mergeCell ref="I12:J12"/>
    <mergeCell ref="K12:N12"/>
    <mergeCell ref="C17:E17"/>
    <mergeCell ref="F17:G17"/>
    <mergeCell ref="I17:J17"/>
    <mergeCell ref="K17:N17"/>
    <mergeCell ref="C18:E18"/>
    <mergeCell ref="F18:G18"/>
    <mergeCell ref="I18:J18"/>
    <mergeCell ref="K18:N18"/>
    <mergeCell ref="C15:E15"/>
    <mergeCell ref="F15:G15"/>
    <mergeCell ref="I15:J15"/>
    <mergeCell ref="K15:N15"/>
    <mergeCell ref="C16:E16"/>
    <mergeCell ref="F16:G16"/>
    <mergeCell ref="I16:J16"/>
    <mergeCell ref="K16:N16"/>
    <mergeCell ref="C21:E21"/>
    <mergeCell ref="F21:G21"/>
    <mergeCell ref="I21:J21"/>
    <mergeCell ref="K21:N21"/>
    <mergeCell ref="C22:E22"/>
    <mergeCell ref="F22:G22"/>
    <mergeCell ref="I22:J22"/>
    <mergeCell ref="K22:N22"/>
    <mergeCell ref="C19:E19"/>
    <mergeCell ref="F19:G19"/>
    <mergeCell ref="I19:J19"/>
    <mergeCell ref="K19:N19"/>
    <mergeCell ref="C20:E20"/>
    <mergeCell ref="F20:G20"/>
    <mergeCell ref="I20:J20"/>
    <mergeCell ref="K20:N20"/>
    <mergeCell ref="C25:E25"/>
    <mergeCell ref="F25:G25"/>
    <mergeCell ref="I25:J25"/>
    <mergeCell ref="K25:N25"/>
    <mergeCell ref="C26:E26"/>
    <mergeCell ref="F26:G26"/>
    <mergeCell ref="I26:J26"/>
    <mergeCell ref="K26:N26"/>
    <mergeCell ref="C23:E23"/>
    <mergeCell ref="F23:G23"/>
    <mergeCell ref="I23:J23"/>
    <mergeCell ref="K23:N23"/>
    <mergeCell ref="C24:E24"/>
    <mergeCell ref="F24:G24"/>
    <mergeCell ref="I24:J24"/>
    <mergeCell ref="K24:N24"/>
    <mergeCell ref="C29:E29"/>
    <mergeCell ref="F29:G29"/>
    <mergeCell ref="I29:J29"/>
    <mergeCell ref="K29:N29"/>
    <mergeCell ref="C30:E30"/>
    <mergeCell ref="F30:G30"/>
    <mergeCell ref="I30:J30"/>
    <mergeCell ref="K30:N30"/>
    <mergeCell ref="C27:E27"/>
    <mergeCell ref="F27:G27"/>
    <mergeCell ref="I27:J27"/>
    <mergeCell ref="K27:N27"/>
    <mergeCell ref="C28:E28"/>
    <mergeCell ref="F28:G28"/>
    <mergeCell ref="I28:J28"/>
    <mergeCell ref="K28:N28"/>
    <mergeCell ref="B33:E33"/>
    <mergeCell ref="F33:G33"/>
    <mergeCell ref="H33:I33"/>
    <mergeCell ref="J33:N33"/>
    <mergeCell ref="B31:F31"/>
    <mergeCell ref="G31:J31"/>
    <mergeCell ref="K31:N31"/>
    <mergeCell ref="B32:F32"/>
    <mergeCell ref="G32:J32"/>
    <mergeCell ref="K32:N32"/>
  </mergeCells>
  <printOptions horizontalCentered="1" verticalCentered="1"/>
  <pageMargins left="0" right="0.23622047244094491" top="0" bottom="0.17" header="0" footer="0.4"/>
  <pageSetup paperSize="9" scale="71" orientation="portrait" r:id="rId1"/>
  <colBreaks count="2" manualBreakCount="2">
    <brk id="1" max="1048575" man="1"/>
    <brk id="10" min="1" max="32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39997558519241921"/>
    <pageSetUpPr fitToPage="1"/>
  </sheetPr>
  <dimension ref="B1:N33"/>
  <sheetViews>
    <sheetView rightToLeft="1" showWhiteSpace="0" topLeftCell="B1" zoomScale="70" zoomScaleNormal="70" zoomScalePageLayoutView="40" workbookViewId="0">
      <selection activeCell="Q14" sqref="Q14"/>
    </sheetView>
  </sheetViews>
  <sheetFormatPr defaultRowHeight="13.8" x14ac:dyDescent="0.25"/>
  <cols>
    <col min="2" max="2" width="5.5" customWidth="1"/>
    <col min="3" max="3" width="4.19921875" customWidth="1"/>
    <col min="4" max="4" width="7.19921875" customWidth="1"/>
    <col min="5" max="5" width="4" customWidth="1"/>
    <col min="6" max="6" width="15.59765625" customWidth="1"/>
    <col min="7" max="7" width="17.09765625" customWidth="1"/>
    <col min="8" max="8" width="19.69921875" customWidth="1"/>
    <col min="9" max="9" width="12.5" bestFit="1" customWidth="1"/>
    <col min="10" max="10" width="4.69921875" customWidth="1"/>
    <col min="11" max="11" width="13.5" customWidth="1"/>
    <col min="12" max="13" width="9.5" customWidth="1"/>
    <col min="14" max="14" width="5.09765625" customWidth="1"/>
  </cols>
  <sheetData>
    <row r="1" spans="2:14" ht="14.4" thickBot="1" x14ac:dyDescent="0.3"/>
    <row r="2" spans="2:14" ht="24.6" customHeight="1" thickBot="1" x14ac:dyDescent="0.8">
      <c r="B2" s="81"/>
      <c r="C2" s="81"/>
      <c r="D2" s="81"/>
      <c r="E2" s="81"/>
      <c r="F2" s="82" t="s">
        <v>18</v>
      </c>
      <c r="G2" s="82"/>
      <c r="H2" s="82"/>
      <c r="I2" s="70" t="s">
        <v>0</v>
      </c>
      <c r="J2" s="83"/>
      <c r="K2" s="84"/>
      <c r="L2" s="70" t="s">
        <v>1</v>
      </c>
      <c r="M2" s="83"/>
      <c r="N2" s="84"/>
    </row>
    <row r="3" spans="2:14" ht="34.950000000000003" customHeight="1" thickBot="1" x14ac:dyDescent="0.3">
      <c r="B3" s="81"/>
      <c r="C3" s="81"/>
      <c r="D3" s="81"/>
      <c r="E3" s="81"/>
      <c r="F3" s="82"/>
      <c r="G3" s="82"/>
      <c r="H3" s="82"/>
      <c r="I3" s="9" t="s">
        <v>4</v>
      </c>
      <c r="J3" s="85"/>
      <c r="K3" s="85"/>
      <c r="L3" s="85"/>
      <c r="M3" s="85"/>
      <c r="N3" s="86"/>
    </row>
    <row r="4" spans="2:14" ht="24" thickBot="1" x14ac:dyDescent="0.8">
      <c r="B4" s="87" t="s">
        <v>2</v>
      </c>
      <c r="C4" s="87"/>
      <c r="D4" s="88"/>
      <c r="E4" s="84"/>
      <c r="F4" s="89"/>
      <c r="G4" s="70" t="s">
        <v>3</v>
      </c>
      <c r="H4" s="2" t="s">
        <v>239</v>
      </c>
      <c r="I4" s="70" t="s">
        <v>5</v>
      </c>
      <c r="J4" s="83"/>
      <c r="K4" s="83"/>
      <c r="L4" s="83"/>
      <c r="M4" s="83"/>
      <c r="N4" s="84"/>
    </row>
    <row r="5" spans="2:14" s="1" customFormat="1" ht="29.4" customHeight="1" thickBot="1" x14ac:dyDescent="0.3">
      <c r="B5" s="69" t="s">
        <v>6</v>
      </c>
      <c r="C5" s="100" t="s">
        <v>7</v>
      </c>
      <c r="D5" s="100"/>
      <c r="E5" s="100"/>
      <c r="F5" s="100" t="s">
        <v>8</v>
      </c>
      <c r="G5" s="100"/>
      <c r="H5" s="69" t="s">
        <v>9</v>
      </c>
      <c r="I5" s="97" t="s">
        <v>10</v>
      </c>
      <c r="J5" s="99"/>
      <c r="K5" s="97" t="s">
        <v>11</v>
      </c>
      <c r="L5" s="98"/>
      <c r="M5" s="98"/>
      <c r="N5" s="99"/>
    </row>
    <row r="6" spans="2:14" ht="27.6" thickBot="1" x14ac:dyDescent="1.05">
      <c r="B6" s="6">
        <v>2</v>
      </c>
      <c r="C6" s="90">
        <v>45097</v>
      </c>
      <c r="D6" s="91"/>
      <c r="E6" s="92"/>
      <c r="F6" s="93" t="s">
        <v>191</v>
      </c>
      <c r="G6" s="93"/>
      <c r="H6" s="4">
        <v>1800000</v>
      </c>
      <c r="I6" s="94">
        <v>542</v>
      </c>
      <c r="J6" s="95"/>
      <c r="K6" s="94"/>
      <c r="L6" s="96"/>
      <c r="M6" s="96"/>
      <c r="N6" s="95"/>
    </row>
    <row r="7" spans="2:14" ht="27.6" thickBot="1" x14ac:dyDescent="1.05">
      <c r="B7" s="6">
        <v>3</v>
      </c>
      <c r="C7" s="90">
        <v>45105</v>
      </c>
      <c r="D7" s="91"/>
      <c r="E7" s="92"/>
      <c r="F7" s="93" t="s">
        <v>21</v>
      </c>
      <c r="G7" s="93"/>
      <c r="H7" s="4">
        <v>1300000</v>
      </c>
      <c r="I7" s="94">
        <v>543</v>
      </c>
      <c r="J7" s="95"/>
      <c r="K7" s="94"/>
      <c r="L7" s="96"/>
      <c r="M7" s="96"/>
      <c r="N7" s="95"/>
    </row>
    <row r="8" spans="2:14" s="1" customFormat="1" ht="27.6" thickBot="1" x14ac:dyDescent="0.35">
      <c r="B8" s="14">
        <v>4</v>
      </c>
      <c r="C8" s="90">
        <v>45102</v>
      </c>
      <c r="D8" s="91"/>
      <c r="E8" s="92"/>
      <c r="F8" s="93" t="s">
        <v>324</v>
      </c>
      <c r="G8" s="93"/>
      <c r="H8" s="4">
        <v>400000</v>
      </c>
      <c r="I8" s="94">
        <v>544</v>
      </c>
      <c r="J8" s="95"/>
      <c r="K8" s="97"/>
      <c r="L8" s="98"/>
      <c r="M8" s="98"/>
      <c r="N8" s="99"/>
    </row>
    <row r="9" spans="2:14" ht="27.6" thickBot="1" x14ac:dyDescent="1.05">
      <c r="B9" s="6">
        <v>5</v>
      </c>
      <c r="C9" s="90">
        <v>45103</v>
      </c>
      <c r="D9" s="91"/>
      <c r="E9" s="92"/>
      <c r="F9" s="93" t="s">
        <v>325</v>
      </c>
      <c r="G9" s="93"/>
      <c r="H9" s="4">
        <v>30000000</v>
      </c>
      <c r="I9" s="94">
        <v>545</v>
      </c>
      <c r="J9" s="95"/>
      <c r="K9" s="94"/>
      <c r="L9" s="96"/>
      <c r="M9" s="96"/>
      <c r="N9" s="95"/>
    </row>
    <row r="10" spans="2:14" ht="27.6" thickBot="1" x14ac:dyDescent="1.05">
      <c r="B10" s="6">
        <v>6</v>
      </c>
      <c r="C10" s="90">
        <v>45103</v>
      </c>
      <c r="D10" s="91"/>
      <c r="E10" s="92"/>
      <c r="F10" s="93" t="s">
        <v>334</v>
      </c>
      <c r="G10" s="93"/>
      <c r="H10" s="4">
        <v>2500000</v>
      </c>
      <c r="I10" s="94">
        <v>546</v>
      </c>
      <c r="J10" s="95"/>
      <c r="K10" s="94"/>
      <c r="L10" s="96"/>
      <c r="M10" s="96"/>
      <c r="N10" s="95"/>
    </row>
    <row r="11" spans="2:14" ht="27.6" thickBot="1" x14ac:dyDescent="1.05">
      <c r="B11" s="6">
        <v>7</v>
      </c>
      <c r="C11" s="90">
        <v>45104</v>
      </c>
      <c r="D11" s="91"/>
      <c r="E11" s="92"/>
      <c r="F11" s="93" t="s">
        <v>144</v>
      </c>
      <c r="G11" s="93"/>
      <c r="H11" s="4">
        <v>1200000</v>
      </c>
      <c r="I11" s="94">
        <v>547</v>
      </c>
      <c r="J11" s="95"/>
      <c r="K11" s="94"/>
      <c r="L11" s="96"/>
      <c r="M11" s="96"/>
      <c r="N11" s="95"/>
    </row>
    <row r="12" spans="2:14" ht="27.6" thickBot="1" x14ac:dyDescent="1.05">
      <c r="B12" s="6">
        <v>8</v>
      </c>
      <c r="C12" s="90">
        <v>45104</v>
      </c>
      <c r="D12" s="91"/>
      <c r="E12" s="92"/>
      <c r="F12" s="93" t="s">
        <v>326</v>
      </c>
      <c r="G12" s="93"/>
      <c r="H12" s="4">
        <v>1500000</v>
      </c>
      <c r="I12" s="94">
        <v>548</v>
      </c>
      <c r="J12" s="95"/>
      <c r="K12" s="94"/>
      <c r="L12" s="96"/>
      <c r="M12" s="96"/>
      <c r="N12" s="95"/>
    </row>
    <row r="13" spans="2:14" ht="27.6" thickBot="1" x14ac:dyDescent="1.05">
      <c r="B13" s="6">
        <v>9</v>
      </c>
      <c r="C13" s="90">
        <v>45105</v>
      </c>
      <c r="D13" s="91"/>
      <c r="E13" s="92"/>
      <c r="F13" s="93" t="s">
        <v>327</v>
      </c>
      <c r="G13" s="93"/>
      <c r="H13" s="4">
        <v>700000</v>
      </c>
      <c r="I13" s="94">
        <v>549</v>
      </c>
      <c r="J13" s="95"/>
      <c r="K13" s="94"/>
      <c r="L13" s="96"/>
      <c r="M13" s="96"/>
      <c r="N13" s="95"/>
    </row>
    <row r="14" spans="2:14" ht="27.6" thickBot="1" x14ac:dyDescent="1.05">
      <c r="B14" s="6">
        <v>10</v>
      </c>
      <c r="C14" s="90">
        <v>45105</v>
      </c>
      <c r="D14" s="91"/>
      <c r="E14" s="92"/>
      <c r="F14" s="93" t="s">
        <v>328</v>
      </c>
      <c r="G14" s="93"/>
      <c r="H14" s="4">
        <v>600000</v>
      </c>
      <c r="I14" s="94">
        <v>550</v>
      </c>
      <c r="J14" s="95"/>
      <c r="K14" s="94"/>
      <c r="L14" s="96"/>
      <c r="M14" s="96"/>
      <c r="N14" s="95"/>
    </row>
    <row r="15" spans="2:14" ht="27.6" thickBot="1" x14ac:dyDescent="1.05">
      <c r="B15" s="6">
        <v>11</v>
      </c>
      <c r="C15" s="90">
        <v>45105</v>
      </c>
      <c r="D15" s="91"/>
      <c r="E15" s="92"/>
      <c r="F15" s="93" t="s">
        <v>41</v>
      </c>
      <c r="G15" s="93"/>
      <c r="H15" s="4">
        <v>1650000</v>
      </c>
      <c r="I15" s="94">
        <v>551</v>
      </c>
      <c r="J15" s="95"/>
      <c r="K15" s="94"/>
      <c r="L15" s="96"/>
      <c r="M15" s="96"/>
      <c r="N15" s="95"/>
    </row>
    <row r="16" spans="2:14" ht="27.6" thickBot="1" x14ac:dyDescent="1.05">
      <c r="B16" s="6">
        <v>12</v>
      </c>
      <c r="C16" s="90">
        <v>45108</v>
      </c>
      <c r="D16" s="91"/>
      <c r="E16" s="92"/>
      <c r="F16" s="93" t="s">
        <v>41</v>
      </c>
      <c r="G16" s="93"/>
      <c r="H16" s="4">
        <v>475000</v>
      </c>
      <c r="I16" s="94">
        <v>552</v>
      </c>
      <c r="J16" s="95"/>
      <c r="K16" s="94"/>
      <c r="L16" s="96"/>
      <c r="M16" s="96"/>
      <c r="N16" s="95"/>
    </row>
    <row r="17" spans="2:14" ht="27.6" thickBot="1" x14ac:dyDescent="1.05">
      <c r="B17" s="6">
        <v>13</v>
      </c>
      <c r="C17" s="90">
        <v>45108</v>
      </c>
      <c r="D17" s="91"/>
      <c r="E17" s="92"/>
      <c r="F17" s="93" t="s">
        <v>21</v>
      </c>
      <c r="G17" s="93"/>
      <c r="H17" s="4">
        <v>1260000</v>
      </c>
      <c r="I17" s="94">
        <v>553</v>
      </c>
      <c r="J17" s="95"/>
      <c r="K17" s="94"/>
      <c r="L17" s="96"/>
      <c r="M17" s="96"/>
      <c r="N17" s="95"/>
    </row>
    <row r="18" spans="2:14" ht="27.6" thickBot="1" x14ac:dyDescent="1.05">
      <c r="B18" s="6">
        <v>14</v>
      </c>
      <c r="C18" s="90">
        <v>45108</v>
      </c>
      <c r="D18" s="91"/>
      <c r="E18" s="92"/>
      <c r="F18" s="93" t="s">
        <v>299</v>
      </c>
      <c r="G18" s="93"/>
      <c r="H18" s="4">
        <v>2500000</v>
      </c>
      <c r="I18" s="94">
        <v>554</v>
      </c>
      <c r="J18" s="95"/>
      <c r="K18" s="94"/>
      <c r="L18" s="96"/>
      <c r="M18" s="96"/>
      <c r="N18" s="95"/>
    </row>
    <row r="19" spans="2:14" ht="27.6" thickBot="1" x14ac:dyDescent="1.05">
      <c r="B19" s="6">
        <v>15</v>
      </c>
      <c r="C19" s="90">
        <v>45109</v>
      </c>
      <c r="D19" s="91"/>
      <c r="E19" s="92"/>
      <c r="F19" s="93" t="s">
        <v>21</v>
      </c>
      <c r="G19" s="93"/>
      <c r="H19" s="4">
        <v>1220000</v>
      </c>
      <c r="I19" s="94">
        <v>555</v>
      </c>
      <c r="J19" s="95"/>
      <c r="K19" s="94"/>
      <c r="L19" s="96"/>
      <c r="M19" s="96"/>
      <c r="N19" s="95"/>
    </row>
    <row r="20" spans="2:14" ht="27.6" thickBot="1" x14ac:dyDescent="1.05">
      <c r="B20" s="6">
        <v>16</v>
      </c>
      <c r="C20" s="90">
        <v>45109</v>
      </c>
      <c r="D20" s="91"/>
      <c r="E20" s="92"/>
      <c r="F20" s="93" t="s">
        <v>329</v>
      </c>
      <c r="G20" s="93"/>
      <c r="H20" s="4">
        <v>4430000</v>
      </c>
      <c r="I20" s="94">
        <v>556</v>
      </c>
      <c r="J20" s="95"/>
      <c r="K20" s="94"/>
      <c r="L20" s="96"/>
      <c r="M20" s="96"/>
      <c r="N20" s="95"/>
    </row>
    <row r="21" spans="2:14" ht="27.6" thickBot="1" x14ac:dyDescent="1.05">
      <c r="B21" s="6">
        <v>17</v>
      </c>
      <c r="C21" s="90">
        <v>45109</v>
      </c>
      <c r="D21" s="91"/>
      <c r="E21" s="92"/>
      <c r="F21" s="93" t="s">
        <v>322</v>
      </c>
      <c r="G21" s="93"/>
      <c r="H21" s="4">
        <v>5000000</v>
      </c>
      <c r="I21" s="94">
        <v>557</v>
      </c>
      <c r="J21" s="95"/>
      <c r="K21" s="94"/>
      <c r="L21" s="96"/>
      <c r="M21" s="96"/>
      <c r="N21" s="95"/>
    </row>
    <row r="22" spans="2:14" ht="27.6" thickBot="1" x14ac:dyDescent="1.05">
      <c r="B22" s="6">
        <v>18</v>
      </c>
      <c r="C22" s="90">
        <v>45109</v>
      </c>
      <c r="D22" s="91"/>
      <c r="E22" s="92"/>
      <c r="F22" s="93" t="s">
        <v>330</v>
      </c>
      <c r="G22" s="93"/>
      <c r="H22" s="4">
        <v>1980000</v>
      </c>
      <c r="I22" s="94">
        <v>558</v>
      </c>
      <c r="J22" s="95"/>
      <c r="K22" s="94"/>
      <c r="L22" s="96"/>
      <c r="M22" s="96"/>
      <c r="N22" s="95"/>
    </row>
    <row r="23" spans="2:14" ht="27.6" thickBot="1" x14ac:dyDescent="1.05">
      <c r="B23" s="6">
        <v>19</v>
      </c>
      <c r="C23" s="90">
        <v>45110</v>
      </c>
      <c r="D23" s="91"/>
      <c r="E23" s="92"/>
      <c r="F23" s="93" t="s">
        <v>331</v>
      </c>
      <c r="G23" s="93"/>
      <c r="H23" s="4">
        <v>14390000</v>
      </c>
      <c r="I23" s="94">
        <v>559</v>
      </c>
      <c r="J23" s="95"/>
      <c r="K23" s="94"/>
      <c r="L23" s="96"/>
      <c r="M23" s="96"/>
      <c r="N23" s="95"/>
    </row>
    <row r="24" spans="2:14" ht="27.6" thickBot="1" x14ac:dyDescent="1.05">
      <c r="B24" s="6">
        <v>20</v>
      </c>
      <c r="C24" s="90">
        <v>45110</v>
      </c>
      <c r="D24" s="91"/>
      <c r="E24" s="92"/>
      <c r="F24" s="93" t="s">
        <v>332</v>
      </c>
      <c r="G24" s="93"/>
      <c r="H24" s="4">
        <v>1300000</v>
      </c>
      <c r="I24" s="94">
        <v>560</v>
      </c>
      <c r="J24" s="95"/>
      <c r="K24" s="94"/>
      <c r="L24" s="96"/>
      <c r="M24" s="96"/>
      <c r="N24" s="95"/>
    </row>
    <row r="25" spans="2:14" ht="27.6" thickBot="1" x14ac:dyDescent="1.05">
      <c r="B25" s="6">
        <v>21</v>
      </c>
      <c r="C25" s="90">
        <v>45110</v>
      </c>
      <c r="D25" s="91"/>
      <c r="E25" s="92"/>
      <c r="F25" s="93" t="s">
        <v>333</v>
      </c>
      <c r="G25" s="93"/>
      <c r="H25" s="4">
        <v>1800000</v>
      </c>
      <c r="I25" s="94">
        <v>561</v>
      </c>
      <c r="J25" s="95"/>
      <c r="K25" s="94"/>
      <c r="L25" s="96"/>
      <c r="M25" s="96"/>
      <c r="N25" s="95"/>
    </row>
    <row r="26" spans="2:14" ht="27.6" thickBot="1" x14ac:dyDescent="1.05">
      <c r="B26" s="6">
        <v>22</v>
      </c>
      <c r="C26" s="90">
        <v>45110</v>
      </c>
      <c r="D26" s="91"/>
      <c r="E26" s="92"/>
      <c r="F26" s="93" t="s">
        <v>83</v>
      </c>
      <c r="G26" s="93"/>
      <c r="H26" s="4">
        <v>600000</v>
      </c>
      <c r="I26" s="94">
        <v>562</v>
      </c>
      <c r="J26" s="95"/>
      <c r="K26" s="94"/>
      <c r="L26" s="96"/>
      <c r="M26" s="96"/>
      <c r="N26" s="95"/>
    </row>
    <row r="27" spans="2:14" ht="27.6" thickBot="1" x14ac:dyDescent="1.05">
      <c r="B27" s="6">
        <v>23</v>
      </c>
      <c r="C27" s="90">
        <v>45113</v>
      </c>
      <c r="D27" s="91"/>
      <c r="E27" s="92"/>
      <c r="F27" s="93" t="s">
        <v>299</v>
      </c>
      <c r="G27" s="93"/>
      <c r="H27" s="4">
        <v>4000000</v>
      </c>
      <c r="I27" s="94">
        <v>563</v>
      </c>
      <c r="J27" s="95"/>
      <c r="K27" s="94"/>
      <c r="L27" s="96"/>
      <c r="M27" s="96"/>
      <c r="N27" s="95"/>
    </row>
    <row r="28" spans="2:14" ht="27.6" thickBot="1" x14ac:dyDescent="1.05">
      <c r="B28" s="6">
        <v>24</v>
      </c>
      <c r="C28" s="90">
        <v>45113</v>
      </c>
      <c r="D28" s="91"/>
      <c r="E28" s="92"/>
      <c r="F28" s="93" t="s">
        <v>335</v>
      </c>
      <c r="G28" s="93"/>
      <c r="H28" s="4">
        <v>7500000</v>
      </c>
      <c r="I28" s="94">
        <v>564</v>
      </c>
      <c r="J28" s="95"/>
      <c r="K28" s="94"/>
      <c r="L28" s="96"/>
      <c r="M28" s="96"/>
      <c r="N28" s="95"/>
    </row>
    <row r="29" spans="2:14" ht="27.6" thickBot="1" x14ac:dyDescent="1.05">
      <c r="B29" s="6">
        <v>25</v>
      </c>
      <c r="C29" s="90">
        <v>45113</v>
      </c>
      <c r="D29" s="91"/>
      <c r="E29" s="92"/>
      <c r="F29" s="94" t="s">
        <v>21</v>
      </c>
      <c r="G29" s="95"/>
      <c r="H29" s="4">
        <v>1270000</v>
      </c>
      <c r="I29" s="94">
        <v>565</v>
      </c>
      <c r="J29" s="95"/>
      <c r="K29" s="94"/>
      <c r="L29" s="96"/>
      <c r="M29" s="96"/>
      <c r="N29" s="95"/>
    </row>
    <row r="30" spans="2:14" ht="27.6" thickBot="1" x14ac:dyDescent="1.05">
      <c r="B30" s="6">
        <v>26</v>
      </c>
      <c r="C30" s="90">
        <v>45113</v>
      </c>
      <c r="D30" s="91"/>
      <c r="E30" s="92"/>
      <c r="F30" s="94" t="s">
        <v>336</v>
      </c>
      <c r="G30" s="95"/>
      <c r="H30" s="4">
        <v>525000</v>
      </c>
      <c r="I30" s="94">
        <v>566</v>
      </c>
      <c r="J30" s="95"/>
      <c r="K30" s="112"/>
      <c r="L30" s="113"/>
      <c r="M30" s="113"/>
      <c r="N30" s="114"/>
    </row>
    <row r="31" spans="2:14" s="1" customFormat="1" ht="29.4" customHeight="1" thickTop="1" thickBot="1" x14ac:dyDescent="0.3">
      <c r="B31" s="102" t="s">
        <v>12</v>
      </c>
      <c r="C31" s="102"/>
      <c r="D31" s="102"/>
      <c r="E31" s="102"/>
      <c r="F31" s="102"/>
      <c r="G31" s="103">
        <f>SUM(H6:H30)</f>
        <v>89900000</v>
      </c>
      <c r="H31" s="104"/>
      <c r="I31" s="104"/>
      <c r="J31" s="105"/>
      <c r="K31" s="106"/>
      <c r="L31" s="107"/>
      <c r="M31" s="107"/>
      <c r="N31" s="108"/>
    </row>
    <row r="32" spans="2:14" s="1" customFormat="1" ht="29.4" customHeight="1" thickBot="1" x14ac:dyDescent="0.3">
      <c r="B32" s="100" t="s">
        <v>13</v>
      </c>
      <c r="C32" s="100"/>
      <c r="D32" s="100"/>
      <c r="E32" s="100"/>
      <c r="F32" s="100"/>
      <c r="G32" s="109"/>
      <c r="H32" s="110"/>
      <c r="I32" s="110"/>
      <c r="J32" s="111"/>
      <c r="K32" s="97"/>
      <c r="L32" s="98"/>
      <c r="M32" s="98"/>
      <c r="N32" s="99"/>
    </row>
    <row r="33" spans="2:14" ht="82.2" customHeight="1" thickBot="1" x14ac:dyDescent="0.3">
      <c r="B33" s="101" t="s">
        <v>14</v>
      </c>
      <c r="C33" s="101"/>
      <c r="D33" s="101"/>
      <c r="E33" s="101"/>
      <c r="F33" s="101" t="s">
        <v>15</v>
      </c>
      <c r="G33" s="101"/>
      <c r="H33" s="101" t="s">
        <v>16</v>
      </c>
      <c r="I33" s="101"/>
      <c r="J33" s="101" t="s">
        <v>17</v>
      </c>
      <c r="K33" s="101"/>
      <c r="L33" s="101"/>
      <c r="M33" s="101"/>
      <c r="N33" s="101"/>
    </row>
  </sheetData>
  <mergeCells count="122">
    <mergeCell ref="B33:E33"/>
    <mergeCell ref="F33:G33"/>
    <mergeCell ref="H33:I33"/>
    <mergeCell ref="J33:N33"/>
    <mergeCell ref="B31:F31"/>
    <mergeCell ref="G31:J31"/>
    <mergeCell ref="K31:N31"/>
    <mergeCell ref="B32:F32"/>
    <mergeCell ref="G32:J32"/>
    <mergeCell ref="K32:N32"/>
    <mergeCell ref="C29:E29"/>
    <mergeCell ref="F29:G29"/>
    <mergeCell ref="I29:J29"/>
    <mergeCell ref="K29:N29"/>
    <mergeCell ref="C30:E30"/>
    <mergeCell ref="F30:G30"/>
    <mergeCell ref="I30:J30"/>
    <mergeCell ref="K30:N30"/>
    <mergeCell ref="C27:E27"/>
    <mergeCell ref="F27:G27"/>
    <mergeCell ref="I27:J27"/>
    <mergeCell ref="K27:N27"/>
    <mergeCell ref="C28:E28"/>
    <mergeCell ref="F28:G28"/>
    <mergeCell ref="I28:J28"/>
    <mergeCell ref="K28:N28"/>
    <mergeCell ref="C25:E25"/>
    <mergeCell ref="F25:G25"/>
    <mergeCell ref="I25:J25"/>
    <mergeCell ref="K25:N25"/>
    <mergeCell ref="C26:E26"/>
    <mergeCell ref="F26:G26"/>
    <mergeCell ref="I26:J26"/>
    <mergeCell ref="K26:N26"/>
    <mergeCell ref="C23:E23"/>
    <mergeCell ref="F23:G23"/>
    <mergeCell ref="I23:J23"/>
    <mergeCell ref="K23:N23"/>
    <mergeCell ref="C24:E24"/>
    <mergeCell ref="F24:G24"/>
    <mergeCell ref="I24:J24"/>
    <mergeCell ref="K24:N24"/>
    <mergeCell ref="C21:E21"/>
    <mergeCell ref="F21:G21"/>
    <mergeCell ref="I21:J21"/>
    <mergeCell ref="K21:N21"/>
    <mergeCell ref="C22:E22"/>
    <mergeCell ref="F22:G22"/>
    <mergeCell ref="I22:J22"/>
    <mergeCell ref="K22:N22"/>
    <mergeCell ref="C19:E19"/>
    <mergeCell ref="F19:G19"/>
    <mergeCell ref="I19:J19"/>
    <mergeCell ref="K19:N19"/>
    <mergeCell ref="C20:E20"/>
    <mergeCell ref="F20:G20"/>
    <mergeCell ref="I20:J20"/>
    <mergeCell ref="K20:N20"/>
    <mergeCell ref="C17:E17"/>
    <mergeCell ref="F17:G17"/>
    <mergeCell ref="I17:J17"/>
    <mergeCell ref="K17:N17"/>
    <mergeCell ref="C18:E18"/>
    <mergeCell ref="F18:G18"/>
    <mergeCell ref="I18:J18"/>
    <mergeCell ref="K18:N18"/>
    <mergeCell ref="C15:E15"/>
    <mergeCell ref="F15:G15"/>
    <mergeCell ref="I15:J15"/>
    <mergeCell ref="K15:N15"/>
    <mergeCell ref="C16:E16"/>
    <mergeCell ref="F16:G16"/>
    <mergeCell ref="I16:J16"/>
    <mergeCell ref="K16:N16"/>
    <mergeCell ref="C13:E13"/>
    <mergeCell ref="F13:G13"/>
    <mergeCell ref="I13:J13"/>
    <mergeCell ref="K13:N13"/>
    <mergeCell ref="C14:E14"/>
    <mergeCell ref="F14:G14"/>
    <mergeCell ref="I14:J14"/>
    <mergeCell ref="K14:N14"/>
    <mergeCell ref="C11:E11"/>
    <mergeCell ref="F11:G11"/>
    <mergeCell ref="I11:J11"/>
    <mergeCell ref="K11:N11"/>
    <mergeCell ref="C12:E12"/>
    <mergeCell ref="F12:G12"/>
    <mergeCell ref="I12:J12"/>
    <mergeCell ref="K12:N12"/>
    <mergeCell ref="C9:E9"/>
    <mergeCell ref="F9:G9"/>
    <mergeCell ref="I9:J9"/>
    <mergeCell ref="K9:N9"/>
    <mergeCell ref="C10:E10"/>
    <mergeCell ref="F10:G10"/>
    <mergeCell ref="I10:J10"/>
    <mergeCell ref="K10:N10"/>
    <mergeCell ref="C7:E7"/>
    <mergeCell ref="F7:G7"/>
    <mergeCell ref="I7:J7"/>
    <mergeCell ref="K7:N7"/>
    <mergeCell ref="C8:E8"/>
    <mergeCell ref="F8:G8"/>
    <mergeCell ref="I8:J8"/>
    <mergeCell ref="K8:N8"/>
    <mergeCell ref="C5:E5"/>
    <mergeCell ref="F5:G5"/>
    <mergeCell ref="I5:J5"/>
    <mergeCell ref="K5:N5"/>
    <mergeCell ref="C6:E6"/>
    <mergeCell ref="F6:G6"/>
    <mergeCell ref="I6:J6"/>
    <mergeCell ref="K6:N6"/>
    <mergeCell ref="B2:E3"/>
    <mergeCell ref="F2:H3"/>
    <mergeCell ref="J2:K2"/>
    <mergeCell ref="M2:N2"/>
    <mergeCell ref="J3:N3"/>
    <mergeCell ref="B4:D4"/>
    <mergeCell ref="E4:F4"/>
    <mergeCell ref="J4:N4"/>
  </mergeCells>
  <printOptions horizontalCentered="1" verticalCentered="1"/>
  <pageMargins left="0" right="0.23622047244094491" top="0" bottom="0.17" header="0" footer="0.4"/>
  <pageSetup paperSize="9" scale="71" orientation="portrait" r:id="rId1"/>
  <colBreaks count="2" manualBreakCount="2">
    <brk id="1" max="1048575" man="1"/>
    <brk id="10" min="1" max="32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0.59999389629810485"/>
    <pageSetUpPr fitToPage="1"/>
  </sheetPr>
  <dimension ref="B1:N33"/>
  <sheetViews>
    <sheetView rightToLeft="1" showWhiteSpace="0" topLeftCell="B1" zoomScale="70" zoomScaleNormal="70" zoomScalePageLayoutView="40" workbookViewId="0">
      <selection activeCell="T1" sqref="T1:V1048576"/>
    </sheetView>
  </sheetViews>
  <sheetFormatPr defaultRowHeight="13.8" x14ac:dyDescent="0.25"/>
  <cols>
    <col min="2" max="2" width="5.5" customWidth="1"/>
    <col min="3" max="3" width="4.19921875" customWidth="1"/>
    <col min="4" max="4" width="7.19921875" customWidth="1"/>
    <col min="5" max="5" width="4" customWidth="1"/>
    <col min="6" max="6" width="15.59765625" customWidth="1"/>
    <col min="7" max="7" width="17.09765625" customWidth="1"/>
    <col min="8" max="8" width="19.69921875" customWidth="1"/>
    <col min="9" max="9" width="12.5" bestFit="1" customWidth="1"/>
    <col min="10" max="10" width="4.69921875" customWidth="1"/>
    <col min="11" max="11" width="13.5" customWidth="1"/>
    <col min="12" max="13" width="9.5" customWidth="1"/>
    <col min="14" max="14" width="5.09765625" customWidth="1"/>
  </cols>
  <sheetData>
    <row r="1" spans="2:14" ht="14.4" thickBot="1" x14ac:dyDescent="0.3"/>
    <row r="2" spans="2:14" ht="24.6" customHeight="1" thickBot="1" x14ac:dyDescent="0.8">
      <c r="B2" s="81"/>
      <c r="C2" s="81"/>
      <c r="D2" s="81"/>
      <c r="E2" s="81"/>
      <c r="F2" s="82" t="s">
        <v>18</v>
      </c>
      <c r="G2" s="82"/>
      <c r="H2" s="82"/>
      <c r="I2" s="68" t="s">
        <v>0</v>
      </c>
      <c r="J2" s="83"/>
      <c r="K2" s="84"/>
      <c r="L2" s="68" t="s">
        <v>1</v>
      </c>
      <c r="M2" s="83"/>
      <c r="N2" s="84"/>
    </row>
    <row r="3" spans="2:14" ht="34.950000000000003" customHeight="1" thickBot="1" x14ac:dyDescent="0.3">
      <c r="B3" s="81"/>
      <c r="C3" s="81"/>
      <c r="D3" s="81"/>
      <c r="E3" s="81"/>
      <c r="F3" s="82"/>
      <c r="G3" s="82"/>
      <c r="H3" s="82"/>
      <c r="I3" s="9" t="s">
        <v>4</v>
      </c>
      <c r="J3" s="85"/>
      <c r="K3" s="85"/>
      <c r="L3" s="85"/>
      <c r="M3" s="85"/>
      <c r="N3" s="86"/>
    </row>
    <row r="4" spans="2:14" ht="24" thickBot="1" x14ac:dyDescent="0.8">
      <c r="B4" s="87" t="s">
        <v>2</v>
      </c>
      <c r="C4" s="87"/>
      <c r="D4" s="88"/>
      <c r="E4" s="84"/>
      <c r="F4" s="89"/>
      <c r="G4" s="68" t="s">
        <v>3</v>
      </c>
      <c r="H4" s="2">
        <v>371334740</v>
      </c>
      <c r="I4" s="68" t="s">
        <v>5</v>
      </c>
      <c r="J4" s="83"/>
      <c r="K4" s="83"/>
      <c r="L4" s="83"/>
      <c r="M4" s="83"/>
      <c r="N4" s="84"/>
    </row>
    <row r="5" spans="2:14" s="1" customFormat="1" ht="29.4" customHeight="1" thickBot="1" x14ac:dyDescent="0.3">
      <c r="B5" s="67" t="s">
        <v>6</v>
      </c>
      <c r="C5" s="100" t="s">
        <v>7</v>
      </c>
      <c r="D5" s="100"/>
      <c r="E5" s="100"/>
      <c r="F5" s="100" t="s">
        <v>8</v>
      </c>
      <c r="G5" s="100"/>
      <c r="H5" s="67" t="s">
        <v>9</v>
      </c>
      <c r="I5" s="97" t="s">
        <v>10</v>
      </c>
      <c r="J5" s="99"/>
      <c r="K5" s="97" t="s">
        <v>11</v>
      </c>
      <c r="L5" s="98"/>
      <c r="M5" s="98"/>
      <c r="N5" s="99"/>
    </row>
    <row r="6" spans="2:14" ht="27.6" thickBot="1" x14ac:dyDescent="1.05">
      <c r="B6" s="6">
        <v>2</v>
      </c>
      <c r="C6" s="90">
        <v>45098</v>
      </c>
      <c r="D6" s="91"/>
      <c r="E6" s="92"/>
      <c r="F6" s="93" t="s">
        <v>59</v>
      </c>
      <c r="G6" s="93"/>
      <c r="H6" s="4">
        <v>3820000</v>
      </c>
      <c r="I6" s="94">
        <v>517</v>
      </c>
      <c r="J6" s="95"/>
      <c r="K6" s="94"/>
      <c r="L6" s="96"/>
      <c r="M6" s="96"/>
      <c r="N6" s="95"/>
    </row>
    <row r="7" spans="2:14" ht="27.6" thickBot="1" x14ac:dyDescent="1.05">
      <c r="B7" s="6">
        <v>3</v>
      </c>
      <c r="C7" s="90">
        <v>45098</v>
      </c>
      <c r="D7" s="91"/>
      <c r="E7" s="92"/>
      <c r="F7" s="93" t="s">
        <v>306</v>
      </c>
      <c r="G7" s="93"/>
      <c r="H7" s="4">
        <v>5700000</v>
      </c>
      <c r="I7" s="94">
        <v>518</v>
      </c>
      <c r="J7" s="95"/>
      <c r="K7" s="94"/>
      <c r="L7" s="96"/>
      <c r="M7" s="96"/>
      <c r="N7" s="95"/>
    </row>
    <row r="8" spans="2:14" s="1" customFormat="1" ht="27.6" thickBot="1" x14ac:dyDescent="0.35">
      <c r="B8" s="14">
        <v>4</v>
      </c>
      <c r="C8" s="90">
        <v>45098</v>
      </c>
      <c r="D8" s="91"/>
      <c r="E8" s="92"/>
      <c r="F8" s="93" t="s">
        <v>307</v>
      </c>
      <c r="G8" s="93"/>
      <c r="H8" s="4">
        <v>1100000</v>
      </c>
      <c r="I8" s="94">
        <v>519</v>
      </c>
      <c r="J8" s="95"/>
      <c r="K8" s="97"/>
      <c r="L8" s="98"/>
      <c r="M8" s="98"/>
      <c r="N8" s="99"/>
    </row>
    <row r="9" spans="2:14" ht="27.6" thickBot="1" x14ac:dyDescent="1.05">
      <c r="B9" s="6">
        <v>5</v>
      </c>
      <c r="C9" s="90">
        <v>45098</v>
      </c>
      <c r="D9" s="91"/>
      <c r="E9" s="92"/>
      <c r="F9" s="93" t="s">
        <v>308</v>
      </c>
      <c r="G9" s="93"/>
      <c r="H9" s="4">
        <v>6000000</v>
      </c>
      <c r="I9" s="94">
        <v>520</v>
      </c>
      <c r="J9" s="95"/>
      <c r="K9" s="94"/>
      <c r="L9" s="96"/>
      <c r="M9" s="96"/>
      <c r="N9" s="95"/>
    </row>
    <row r="10" spans="2:14" ht="27.6" thickBot="1" x14ac:dyDescent="1.05">
      <c r="B10" s="6">
        <v>6</v>
      </c>
      <c r="C10" s="90">
        <v>45098</v>
      </c>
      <c r="D10" s="91"/>
      <c r="E10" s="92"/>
      <c r="F10" s="93" t="s">
        <v>309</v>
      </c>
      <c r="G10" s="93"/>
      <c r="H10" s="4">
        <v>44000000</v>
      </c>
      <c r="I10" s="94">
        <v>521</v>
      </c>
      <c r="J10" s="95"/>
      <c r="K10" s="94"/>
      <c r="L10" s="96"/>
      <c r="M10" s="96"/>
      <c r="N10" s="95"/>
    </row>
    <row r="11" spans="2:14" ht="27.6" thickBot="1" x14ac:dyDescent="1.05">
      <c r="B11" s="6">
        <v>7</v>
      </c>
      <c r="C11" s="90">
        <v>45098</v>
      </c>
      <c r="D11" s="91"/>
      <c r="E11" s="92"/>
      <c r="F11" s="93" t="s">
        <v>86</v>
      </c>
      <c r="G11" s="93"/>
      <c r="H11" s="4">
        <v>4000000</v>
      </c>
      <c r="I11" s="94">
        <v>522</v>
      </c>
      <c r="J11" s="95"/>
      <c r="K11" s="94"/>
      <c r="L11" s="96"/>
      <c r="M11" s="96"/>
      <c r="N11" s="95"/>
    </row>
    <row r="12" spans="2:14" ht="27.6" thickBot="1" x14ac:dyDescent="1.05">
      <c r="B12" s="6">
        <v>8</v>
      </c>
      <c r="C12" s="90">
        <v>45099</v>
      </c>
      <c r="D12" s="91"/>
      <c r="E12" s="92"/>
      <c r="F12" s="93" t="s">
        <v>221</v>
      </c>
      <c r="G12" s="93"/>
      <c r="H12" s="4">
        <v>3900000</v>
      </c>
      <c r="I12" s="94">
        <v>523</v>
      </c>
      <c r="J12" s="95"/>
      <c r="K12" s="94"/>
      <c r="L12" s="96"/>
      <c r="M12" s="96"/>
      <c r="N12" s="95"/>
    </row>
    <row r="13" spans="2:14" ht="27.6" thickBot="1" x14ac:dyDescent="1.05">
      <c r="B13" s="6">
        <v>9</v>
      </c>
      <c r="C13" s="90">
        <v>45099</v>
      </c>
      <c r="D13" s="91"/>
      <c r="E13" s="92"/>
      <c r="F13" s="93" t="s">
        <v>310</v>
      </c>
      <c r="G13" s="93"/>
      <c r="H13" s="4">
        <v>2100000</v>
      </c>
      <c r="I13" s="94">
        <v>524</v>
      </c>
      <c r="J13" s="95"/>
      <c r="K13" s="94"/>
      <c r="L13" s="96"/>
      <c r="M13" s="96"/>
      <c r="N13" s="95"/>
    </row>
    <row r="14" spans="2:14" ht="27.6" thickBot="1" x14ac:dyDescent="1.05">
      <c r="B14" s="6">
        <v>10</v>
      </c>
      <c r="C14" s="90">
        <v>45099</v>
      </c>
      <c r="D14" s="91"/>
      <c r="E14" s="92"/>
      <c r="F14" s="93" t="s">
        <v>51</v>
      </c>
      <c r="G14" s="93"/>
      <c r="H14" s="4">
        <v>7400000</v>
      </c>
      <c r="I14" s="94">
        <v>525</v>
      </c>
      <c r="J14" s="95"/>
      <c r="K14" s="94"/>
      <c r="L14" s="96"/>
      <c r="M14" s="96"/>
      <c r="N14" s="95"/>
    </row>
    <row r="15" spans="2:14" ht="27.6" thickBot="1" x14ac:dyDescent="1.05">
      <c r="B15" s="6">
        <v>11</v>
      </c>
      <c r="C15" s="90">
        <v>45100</v>
      </c>
      <c r="D15" s="91"/>
      <c r="E15" s="92"/>
      <c r="F15" s="93" t="s">
        <v>311</v>
      </c>
      <c r="G15" s="93"/>
      <c r="H15" s="4">
        <v>4200000</v>
      </c>
      <c r="I15" s="94">
        <v>526</v>
      </c>
      <c r="J15" s="95"/>
      <c r="K15" s="94"/>
      <c r="L15" s="96"/>
      <c r="M15" s="96"/>
      <c r="N15" s="95"/>
    </row>
    <row r="16" spans="2:14" ht="27.6" thickBot="1" x14ac:dyDescent="1.05">
      <c r="B16" s="6">
        <v>12</v>
      </c>
      <c r="C16" s="90">
        <v>45101</v>
      </c>
      <c r="D16" s="91"/>
      <c r="E16" s="92"/>
      <c r="F16" s="93" t="s">
        <v>312</v>
      </c>
      <c r="G16" s="93"/>
      <c r="H16" s="4">
        <v>23700000</v>
      </c>
      <c r="I16" s="94">
        <v>527</v>
      </c>
      <c r="J16" s="95"/>
      <c r="K16" s="94"/>
      <c r="L16" s="96"/>
      <c r="M16" s="96"/>
      <c r="N16" s="95"/>
    </row>
    <row r="17" spans="2:14" ht="27.6" thickBot="1" x14ac:dyDescent="1.05">
      <c r="B17" s="6">
        <v>13</v>
      </c>
      <c r="C17" s="90">
        <v>45083</v>
      </c>
      <c r="D17" s="91"/>
      <c r="E17" s="92"/>
      <c r="F17" s="93" t="s">
        <v>313</v>
      </c>
      <c r="G17" s="93"/>
      <c r="H17" s="4">
        <v>2000000</v>
      </c>
      <c r="I17" s="94">
        <v>528</v>
      </c>
      <c r="J17" s="95"/>
      <c r="K17" s="94"/>
      <c r="L17" s="96"/>
      <c r="M17" s="96"/>
      <c r="N17" s="95"/>
    </row>
    <row r="18" spans="2:14" ht="27.6" thickBot="1" x14ac:dyDescent="1.05">
      <c r="B18" s="6">
        <v>14</v>
      </c>
      <c r="C18" s="90">
        <v>45095</v>
      </c>
      <c r="D18" s="91"/>
      <c r="E18" s="92"/>
      <c r="F18" s="93" t="s">
        <v>41</v>
      </c>
      <c r="G18" s="93"/>
      <c r="H18" s="4">
        <v>1550000</v>
      </c>
      <c r="I18" s="94">
        <v>529</v>
      </c>
      <c r="J18" s="95"/>
      <c r="K18" s="94"/>
      <c r="L18" s="96"/>
      <c r="M18" s="96"/>
      <c r="N18" s="95"/>
    </row>
    <row r="19" spans="2:14" ht="27.6" thickBot="1" x14ac:dyDescent="1.05">
      <c r="B19" s="6">
        <v>15</v>
      </c>
      <c r="C19" s="90">
        <v>45096</v>
      </c>
      <c r="D19" s="91"/>
      <c r="E19" s="92"/>
      <c r="F19" s="93" t="s">
        <v>165</v>
      </c>
      <c r="G19" s="93"/>
      <c r="H19" s="4">
        <v>1230000</v>
      </c>
      <c r="I19" s="94">
        <v>530</v>
      </c>
      <c r="J19" s="95"/>
      <c r="K19" s="94"/>
      <c r="L19" s="96"/>
      <c r="M19" s="96"/>
      <c r="N19" s="95"/>
    </row>
    <row r="20" spans="2:14" ht="27.6" thickBot="1" x14ac:dyDescent="1.05">
      <c r="B20" s="6">
        <v>16</v>
      </c>
      <c r="C20" s="90">
        <v>45096</v>
      </c>
      <c r="D20" s="91"/>
      <c r="E20" s="92"/>
      <c r="F20" s="93" t="s">
        <v>314</v>
      </c>
      <c r="G20" s="93"/>
      <c r="H20" s="4">
        <v>6500000</v>
      </c>
      <c r="I20" s="94">
        <v>531</v>
      </c>
      <c r="J20" s="95"/>
      <c r="K20" s="94"/>
      <c r="L20" s="96"/>
      <c r="M20" s="96"/>
      <c r="N20" s="95"/>
    </row>
    <row r="21" spans="2:14" ht="27.6" thickBot="1" x14ac:dyDescent="1.05">
      <c r="B21" s="6">
        <v>17</v>
      </c>
      <c r="C21" s="90">
        <v>45099</v>
      </c>
      <c r="D21" s="91"/>
      <c r="E21" s="92"/>
      <c r="F21" s="93" t="s">
        <v>41</v>
      </c>
      <c r="G21" s="93"/>
      <c r="H21" s="4">
        <v>1520000</v>
      </c>
      <c r="I21" s="94">
        <v>532</v>
      </c>
      <c r="J21" s="95"/>
      <c r="K21" s="94"/>
      <c r="L21" s="96"/>
      <c r="M21" s="96"/>
      <c r="N21" s="95"/>
    </row>
    <row r="22" spans="2:14" ht="27.6" thickBot="1" x14ac:dyDescent="1.05">
      <c r="B22" s="6">
        <v>18</v>
      </c>
      <c r="C22" s="90">
        <v>45098</v>
      </c>
      <c r="D22" s="91"/>
      <c r="E22" s="92"/>
      <c r="F22" s="93" t="s">
        <v>315</v>
      </c>
      <c r="G22" s="93"/>
      <c r="H22" s="4">
        <v>30000000</v>
      </c>
      <c r="I22" s="94">
        <v>533</v>
      </c>
      <c r="J22" s="95"/>
      <c r="K22" s="94"/>
      <c r="L22" s="96"/>
      <c r="M22" s="96"/>
      <c r="N22" s="95"/>
    </row>
    <row r="23" spans="2:14" ht="27.6" thickBot="1" x14ac:dyDescent="1.05">
      <c r="B23" s="6">
        <v>19</v>
      </c>
      <c r="C23" s="90">
        <v>45102</v>
      </c>
      <c r="D23" s="91"/>
      <c r="E23" s="92"/>
      <c r="F23" s="93" t="s">
        <v>316</v>
      </c>
      <c r="G23" s="93"/>
      <c r="H23" s="4">
        <v>1100000</v>
      </c>
      <c r="I23" s="94">
        <v>534</v>
      </c>
      <c r="J23" s="95"/>
      <c r="K23" s="94"/>
      <c r="L23" s="96"/>
      <c r="M23" s="96"/>
      <c r="N23" s="95"/>
    </row>
    <row r="24" spans="2:14" ht="27.6" thickBot="1" x14ac:dyDescent="1.05">
      <c r="B24" s="6">
        <v>20</v>
      </c>
      <c r="C24" s="90">
        <v>45102</v>
      </c>
      <c r="D24" s="91"/>
      <c r="E24" s="92"/>
      <c r="F24" s="93" t="s">
        <v>317</v>
      </c>
      <c r="G24" s="93"/>
      <c r="H24" s="4">
        <v>2500000</v>
      </c>
      <c r="I24" s="94">
        <v>535</v>
      </c>
      <c r="J24" s="95"/>
      <c r="K24" s="94"/>
      <c r="L24" s="96"/>
      <c r="M24" s="96"/>
      <c r="N24" s="95"/>
    </row>
    <row r="25" spans="2:14" ht="27.6" thickBot="1" x14ac:dyDescent="1.05">
      <c r="B25" s="6">
        <v>21</v>
      </c>
      <c r="C25" s="90">
        <v>45102</v>
      </c>
      <c r="D25" s="91"/>
      <c r="E25" s="92"/>
      <c r="F25" s="93" t="s">
        <v>318</v>
      </c>
      <c r="G25" s="93"/>
      <c r="H25" s="4">
        <v>6500000</v>
      </c>
      <c r="I25" s="94">
        <v>536</v>
      </c>
      <c r="J25" s="95"/>
      <c r="K25" s="94"/>
      <c r="L25" s="96"/>
      <c r="M25" s="96"/>
      <c r="N25" s="95"/>
    </row>
    <row r="26" spans="2:14" ht="27.6" thickBot="1" x14ac:dyDescent="1.05">
      <c r="B26" s="6">
        <v>22</v>
      </c>
      <c r="C26" s="90">
        <v>45103</v>
      </c>
      <c r="D26" s="91"/>
      <c r="E26" s="92"/>
      <c r="F26" s="93" t="s">
        <v>320</v>
      </c>
      <c r="G26" s="93"/>
      <c r="H26" s="4">
        <v>5650000</v>
      </c>
      <c r="I26" s="94">
        <v>537</v>
      </c>
      <c r="J26" s="95"/>
      <c r="K26" s="94"/>
      <c r="L26" s="96"/>
      <c r="M26" s="96"/>
      <c r="N26" s="95"/>
    </row>
    <row r="27" spans="2:14" ht="27.6" thickBot="1" x14ac:dyDescent="1.05">
      <c r="B27" s="6">
        <v>23</v>
      </c>
      <c r="C27" s="90">
        <v>45103</v>
      </c>
      <c r="D27" s="91"/>
      <c r="E27" s="92"/>
      <c r="F27" s="93" t="s">
        <v>321</v>
      </c>
      <c r="G27" s="93"/>
      <c r="H27" s="4">
        <v>3000000</v>
      </c>
      <c r="I27" s="94">
        <v>538</v>
      </c>
      <c r="J27" s="95"/>
      <c r="K27" s="94"/>
      <c r="L27" s="96"/>
      <c r="M27" s="96"/>
      <c r="N27" s="95"/>
    </row>
    <row r="28" spans="2:14" ht="27.6" thickBot="1" x14ac:dyDescent="1.05">
      <c r="B28" s="6">
        <v>24</v>
      </c>
      <c r="C28" s="90">
        <v>45101</v>
      </c>
      <c r="D28" s="91"/>
      <c r="E28" s="92"/>
      <c r="F28" s="93" t="s">
        <v>165</v>
      </c>
      <c r="G28" s="93"/>
      <c r="H28" s="4">
        <v>1130000</v>
      </c>
      <c r="I28" s="94">
        <v>539</v>
      </c>
      <c r="J28" s="95"/>
      <c r="K28" s="94"/>
      <c r="L28" s="96"/>
      <c r="M28" s="96"/>
      <c r="N28" s="95"/>
    </row>
    <row r="29" spans="2:14" ht="27.6" thickBot="1" x14ac:dyDescent="1.05">
      <c r="B29" s="6">
        <v>25</v>
      </c>
      <c r="C29" s="90">
        <v>45103</v>
      </c>
      <c r="D29" s="91"/>
      <c r="E29" s="92"/>
      <c r="F29" s="94" t="s">
        <v>322</v>
      </c>
      <c r="G29" s="95"/>
      <c r="H29" s="4">
        <v>7200000</v>
      </c>
      <c r="I29" s="94">
        <v>540</v>
      </c>
      <c r="J29" s="95"/>
      <c r="K29" s="94"/>
      <c r="L29" s="96"/>
      <c r="M29" s="96"/>
      <c r="N29" s="95"/>
    </row>
    <row r="30" spans="2:14" ht="27.6" thickBot="1" x14ac:dyDescent="1.05">
      <c r="B30" s="6">
        <v>26</v>
      </c>
      <c r="C30" s="90">
        <v>45101</v>
      </c>
      <c r="D30" s="91"/>
      <c r="E30" s="92"/>
      <c r="F30" s="94" t="s">
        <v>323</v>
      </c>
      <c r="G30" s="95"/>
      <c r="H30" s="4">
        <v>1300000</v>
      </c>
      <c r="I30" s="94">
        <v>541</v>
      </c>
      <c r="J30" s="95"/>
      <c r="K30" s="112"/>
      <c r="L30" s="113"/>
      <c r="M30" s="113"/>
      <c r="N30" s="114"/>
    </row>
    <row r="31" spans="2:14" s="1" customFormat="1" ht="29.4" customHeight="1" thickTop="1" thickBot="1" x14ac:dyDescent="0.3">
      <c r="B31" s="102" t="s">
        <v>12</v>
      </c>
      <c r="C31" s="102"/>
      <c r="D31" s="102"/>
      <c r="E31" s="102"/>
      <c r="F31" s="102"/>
      <c r="G31" s="103">
        <f>SUM(H6:H30)</f>
        <v>177100000</v>
      </c>
      <c r="H31" s="104"/>
      <c r="I31" s="104"/>
      <c r="J31" s="105"/>
      <c r="K31" s="106"/>
      <c r="L31" s="107"/>
      <c r="M31" s="107"/>
      <c r="N31" s="108"/>
    </row>
    <row r="32" spans="2:14" s="1" customFormat="1" ht="29.4" customHeight="1" thickBot="1" x14ac:dyDescent="0.3">
      <c r="B32" s="100" t="s">
        <v>13</v>
      </c>
      <c r="C32" s="100"/>
      <c r="D32" s="100"/>
      <c r="E32" s="100"/>
      <c r="F32" s="100"/>
      <c r="G32" s="109"/>
      <c r="H32" s="110"/>
      <c r="I32" s="110"/>
      <c r="J32" s="111"/>
      <c r="K32" s="97"/>
      <c r="L32" s="98"/>
      <c r="M32" s="98"/>
      <c r="N32" s="99"/>
    </row>
    <row r="33" spans="2:14" ht="82.2" customHeight="1" thickBot="1" x14ac:dyDescent="0.3">
      <c r="B33" s="101" t="s">
        <v>14</v>
      </c>
      <c r="C33" s="101"/>
      <c r="D33" s="101"/>
      <c r="E33" s="101"/>
      <c r="F33" s="101" t="s">
        <v>15</v>
      </c>
      <c r="G33" s="101"/>
      <c r="H33" s="101" t="s">
        <v>16</v>
      </c>
      <c r="I33" s="101"/>
      <c r="J33" s="101" t="s">
        <v>17</v>
      </c>
      <c r="K33" s="101"/>
      <c r="L33" s="101"/>
      <c r="M33" s="101"/>
      <c r="N33" s="101"/>
    </row>
  </sheetData>
  <mergeCells count="122">
    <mergeCell ref="B33:E33"/>
    <mergeCell ref="F33:G33"/>
    <mergeCell ref="H33:I33"/>
    <mergeCell ref="J33:N33"/>
    <mergeCell ref="B31:F31"/>
    <mergeCell ref="G31:J31"/>
    <mergeCell ref="K31:N31"/>
    <mergeCell ref="B32:F32"/>
    <mergeCell ref="G32:J32"/>
    <mergeCell ref="K32:N32"/>
    <mergeCell ref="C29:E29"/>
    <mergeCell ref="F29:G29"/>
    <mergeCell ref="I29:J29"/>
    <mergeCell ref="K29:N29"/>
    <mergeCell ref="C30:E30"/>
    <mergeCell ref="F30:G30"/>
    <mergeCell ref="I30:J30"/>
    <mergeCell ref="K30:N30"/>
    <mergeCell ref="C27:E27"/>
    <mergeCell ref="F27:G27"/>
    <mergeCell ref="I27:J27"/>
    <mergeCell ref="K27:N27"/>
    <mergeCell ref="C28:E28"/>
    <mergeCell ref="F28:G28"/>
    <mergeCell ref="I28:J28"/>
    <mergeCell ref="K28:N28"/>
    <mergeCell ref="C25:E25"/>
    <mergeCell ref="F25:G25"/>
    <mergeCell ref="I25:J25"/>
    <mergeCell ref="K25:N25"/>
    <mergeCell ref="C26:E26"/>
    <mergeCell ref="F26:G26"/>
    <mergeCell ref="I26:J26"/>
    <mergeCell ref="K26:N26"/>
    <mergeCell ref="C23:E23"/>
    <mergeCell ref="F23:G23"/>
    <mergeCell ref="I23:J23"/>
    <mergeCell ref="K23:N23"/>
    <mergeCell ref="C24:E24"/>
    <mergeCell ref="F24:G24"/>
    <mergeCell ref="I24:J24"/>
    <mergeCell ref="K24:N24"/>
    <mergeCell ref="C21:E21"/>
    <mergeCell ref="F21:G21"/>
    <mergeCell ref="I21:J21"/>
    <mergeCell ref="K21:N21"/>
    <mergeCell ref="C22:E22"/>
    <mergeCell ref="F22:G22"/>
    <mergeCell ref="I22:J22"/>
    <mergeCell ref="K22:N22"/>
    <mergeCell ref="C19:E19"/>
    <mergeCell ref="F19:G19"/>
    <mergeCell ref="I19:J19"/>
    <mergeCell ref="K19:N19"/>
    <mergeCell ref="C20:E20"/>
    <mergeCell ref="F20:G20"/>
    <mergeCell ref="I20:J20"/>
    <mergeCell ref="K20:N20"/>
    <mergeCell ref="C17:E17"/>
    <mergeCell ref="F17:G17"/>
    <mergeCell ref="I17:J17"/>
    <mergeCell ref="K17:N17"/>
    <mergeCell ref="C18:E18"/>
    <mergeCell ref="F18:G18"/>
    <mergeCell ref="I18:J18"/>
    <mergeCell ref="K18:N18"/>
    <mergeCell ref="C15:E15"/>
    <mergeCell ref="F15:G15"/>
    <mergeCell ref="I15:J15"/>
    <mergeCell ref="K15:N15"/>
    <mergeCell ref="C16:E16"/>
    <mergeCell ref="F16:G16"/>
    <mergeCell ref="I16:J16"/>
    <mergeCell ref="K16:N16"/>
    <mergeCell ref="C13:E13"/>
    <mergeCell ref="F13:G13"/>
    <mergeCell ref="I13:J13"/>
    <mergeCell ref="K13:N13"/>
    <mergeCell ref="C14:E14"/>
    <mergeCell ref="F14:G14"/>
    <mergeCell ref="I14:J14"/>
    <mergeCell ref="K14:N14"/>
    <mergeCell ref="C11:E11"/>
    <mergeCell ref="F11:G11"/>
    <mergeCell ref="I11:J11"/>
    <mergeCell ref="K11:N11"/>
    <mergeCell ref="C12:E12"/>
    <mergeCell ref="F12:G12"/>
    <mergeCell ref="I12:J12"/>
    <mergeCell ref="K12:N12"/>
    <mergeCell ref="C9:E9"/>
    <mergeCell ref="F9:G9"/>
    <mergeCell ref="I9:J9"/>
    <mergeCell ref="K9:N9"/>
    <mergeCell ref="C10:E10"/>
    <mergeCell ref="F10:G10"/>
    <mergeCell ref="I10:J10"/>
    <mergeCell ref="K10:N10"/>
    <mergeCell ref="C7:E7"/>
    <mergeCell ref="F7:G7"/>
    <mergeCell ref="I7:J7"/>
    <mergeCell ref="K7:N7"/>
    <mergeCell ref="C8:E8"/>
    <mergeCell ref="F8:G8"/>
    <mergeCell ref="I8:J8"/>
    <mergeCell ref="K8:N8"/>
    <mergeCell ref="C5:E5"/>
    <mergeCell ref="F5:G5"/>
    <mergeCell ref="I5:J5"/>
    <mergeCell ref="K5:N5"/>
    <mergeCell ref="C6:E6"/>
    <mergeCell ref="F6:G6"/>
    <mergeCell ref="I6:J6"/>
    <mergeCell ref="K6:N6"/>
    <mergeCell ref="B2:E3"/>
    <mergeCell ref="F2:H3"/>
    <mergeCell ref="J2:K2"/>
    <mergeCell ref="M2:N2"/>
    <mergeCell ref="J3:N3"/>
    <mergeCell ref="B4:D4"/>
    <mergeCell ref="E4:F4"/>
    <mergeCell ref="J4:N4"/>
  </mergeCells>
  <printOptions horizontalCentered="1" verticalCentered="1"/>
  <pageMargins left="0" right="0.23622047244094491" top="0" bottom="0.17" header="0" footer="0.4"/>
  <pageSetup paperSize="9" scale="71" orientation="portrait" r:id="rId1"/>
  <colBreaks count="2" manualBreakCount="2">
    <brk id="1" max="1048575" man="1"/>
    <brk id="10" min="1" max="32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 tint="0.59999389629810485"/>
    <pageSetUpPr fitToPage="1"/>
  </sheetPr>
  <dimension ref="B1:N33"/>
  <sheetViews>
    <sheetView rightToLeft="1" showWhiteSpace="0" zoomScale="70" zoomScaleNormal="70" zoomScalePageLayoutView="40" workbookViewId="0">
      <selection activeCell="T1" sqref="T1:V1048576"/>
    </sheetView>
  </sheetViews>
  <sheetFormatPr defaultRowHeight="13.8" x14ac:dyDescent="0.25"/>
  <cols>
    <col min="2" max="2" width="5.5" customWidth="1"/>
    <col min="3" max="3" width="4.19921875" customWidth="1"/>
    <col min="4" max="4" width="7.19921875" customWidth="1"/>
    <col min="5" max="5" width="4" customWidth="1"/>
    <col min="6" max="6" width="15.59765625" customWidth="1"/>
    <col min="7" max="7" width="17.09765625" customWidth="1"/>
    <col min="8" max="8" width="19.69921875" customWidth="1"/>
    <col min="9" max="9" width="12.5" bestFit="1" customWidth="1"/>
    <col min="10" max="10" width="4.69921875" customWidth="1"/>
    <col min="11" max="11" width="13.5" customWidth="1"/>
    <col min="12" max="13" width="9.5" customWidth="1"/>
    <col min="14" max="14" width="5.09765625" customWidth="1"/>
  </cols>
  <sheetData>
    <row r="1" spans="2:14" ht="14.4" thickBot="1" x14ac:dyDescent="0.3"/>
    <row r="2" spans="2:14" ht="24.6" customHeight="1" thickBot="1" x14ac:dyDescent="0.8">
      <c r="B2" s="81"/>
      <c r="C2" s="81"/>
      <c r="D2" s="81"/>
      <c r="E2" s="81"/>
      <c r="F2" s="82" t="s">
        <v>18</v>
      </c>
      <c r="G2" s="82"/>
      <c r="H2" s="82"/>
      <c r="I2" s="66" t="s">
        <v>0</v>
      </c>
      <c r="J2" s="83"/>
      <c r="K2" s="84"/>
      <c r="L2" s="66" t="s">
        <v>1</v>
      </c>
      <c r="M2" s="83"/>
      <c r="N2" s="84"/>
    </row>
    <row r="3" spans="2:14" ht="34.950000000000003" customHeight="1" thickBot="1" x14ac:dyDescent="0.3">
      <c r="B3" s="81"/>
      <c r="C3" s="81"/>
      <c r="D3" s="81"/>
      <c r="E3" s="81"/>
      <c r="F3" s="82"/>
      <c r="G3" s="82"/>
      <c r="H3" s="82"/>
      <c r="I3" s="9" t="s">
        <v>4</v>
      </c>
      <c r="J3" s="85"/>
      <c r="K3" s="85"/>
      <c r="L3" s="85"/>
      <c r="M3" s="85"/>
      <c r="N3" s="86"/>
    </row>
    <row r="4" spans="2:14" ht="24" thickBot="1" x14ac:dyDescent="0.8">
      <c r="B4" s="87" t="s">
        <v>2</v>
      </c>
      <c r="C4" s="87"/>
      <c r="D4" s="88"/>
      <c r="E4" s="84"/>
      <c r="F4" s="89"/>
      <c r="G4" s="66" t="s">
        <v>3</v>
      </c>
      <c r="H4" s="2" t="s">
        <v>239</v>
      </c>
      <c r="I4" s="66" t="s">
        <v>5</v>
      </c>
      <c r="J4" s="83"/>
      <c r="K4" s="83"/>
      <c r="L4" s="83"/>
      <c r="M4" s="83"/>
      <c r="N4" s="84"/>
    </row>
    <row r="5" spans="2:14" s="1" customFormat="1" ht="29.4" customHeight="1" thickBot="1" x14ac:dyDescent="0.3">
      <c r="B5" s="65" t="s">
        <v>6</v>
      </c>
      <c r="C5" s="100" t="s">
        <v>7</v>
      </c>
      <c r="D5" s="100"/>
      <c r="E5" s="100"/>
      <c r="F5" s="100" t="s">
        <v>8</v>
      </c>
      <c r="G5" s="100"/>
      <c r="H5" s="65" t="s">
        <v>9</v>
      </c>
      <c r="I5" s="97" t="s">
        <v>10</v>
      </c>
      <c r="J5" s="99"/>
      <c r="K5" s="97" t="s">
        <v>11</v>
      </c>
      <c r="L5" s="98"/>
      <c r="M5" s="98"/>
      <c r="N5" s="99"/>
    </row>
    <row r="6" spans="2:14" ht="27.6" thickBot="1" x14ac:dyDescent="1.05">
      <c r="B6" s="6">
        <v>2</v>
      </c>
      <c r="C6" s="90">
        <v>45005</v>
      </c>
      <c r="D6" s="91"/>
      <c r="E6" s="92"/>
      <c r="F6" s="93" t="s">
        <v>291</v>
      </c>
      <c r="G6" s="93"/>
      <c r="H6" s="4">
        <v>3800000</v>
      </c>
      <c r="I6" s="94">
        <v>492</v>
      </c>
      <c r="J6" s="95"/>
      <c r="K6" s="94"/>
      <c r="L6" s="96"/>
      <c r="M6" s="96"/>
      <c r="N6" s="95"/>
    </row>
    <row r="7" spans="2:14" ht="27.6" thickBot="1" x14ac:dyDescent="1.05">
      <c r="B7" s="6">
        <v>3</v>
      </c>
      <c r="C7" s="90">
        <v>45083</v>
      </c>
      <c r="D7" s="91"/>
      <c r="E7" s="92"/>
      <c r="F7" s="93" t="s">
        <v>292</v>
      </c>
      <c r="G7" s="93"/>
      <c r="H7" s="4">
        <v>5480000</v>
      </c>
      <c r="I7" s="94">
        <v>493</v>
      </c>
      <c r="J7" s="95"/>
      <c r="K7" s="94"/>
      <c r="L7" s="96"/>
      <c r="M7" s="96"/>
      <c r="N7" s="95"/>
    </row>
    <row r="8" spans="2:14" s="1" customFormat="1" ht="27.6" thickBot="1" x14ac:dyDescent="0.35">
      <c r="B8" s="14">
        <v>4</v>
      </c>
      <c r="C8" s="90">
        <v>45087</v>
      </c>
      <c r="D8" s="91"/>
      <c r="E8" s="92"/>
      <c r="F8" s="93" t="s">
        <v>293</v>
      </c>
      <c r="G8" s="93"/>
      <c r="H8" s="4">
        <v>39000000</v>
      </c>
      <c r="I8" s="94">
        <v>494</v>
      </c>
      <c r="J8" s="95"/>
      <c r="K8" s="97"/>
      <c r="L8" s="98"/>
      <c r="M8" s="98"/>
      <c r="N8" s="99"/>
    </row>
    <row r="9" spans="2:14" ht="27.6" thickBot="1" x14ac:dyDescent="1.05">
      <c r="B9" s="6">
        <v>5</v>
      </c>
      <c r="C9" s="90">
        <v>45090</v>
      </c>
      <c r="D9" s="91"/>
      <c r="E9" s="92"/>
      <c r="F9" s="93" t="s">
        <v>41</v>
      </c>
      <c r="G9" s="93"/>
      <c r="H9" s="4">
        <v>1520000</v>
      </c>
      <c r="I9" s="94">
        <v>495</v>
      </c>
      <c r="J9" s="95"/>
      <c r="K9" s="94"/>
      <c r="L9" s="96"/>
      <c r="M9" s="96"/>
      <c r="N9" s="95"/>
    </row>
    <row r="10" spans="2:14" ht="27.6" thickBot="1" x14ac:dyDescent="1.05">
      <c r="B10" s="6">
        <v>6</v>
      </c>
      <c r="C10" s="90">
        <v>45090</v>
      </c>
      <c r="D10" s="91"/>
      <c r="E10" s="92"/>
      <c r="F10" s="93" t="s">
        <v>294</v>
      </c>
      <c r="G10" s="93"/>
      <c r="H10" s="4">
        <v>18000000</v>
      </c>
      <c r="I10" s="94">
        <v>496</v>
      </c>
      <c r="J10" s="95"/>
      <c r="K10" s="94"/>
      <c r="L10" s="96"/>
      <c r="M10" s="96"/>
      <c r="N10" s="95"/>
    </row>
    <row r="11" spans="2:14" ht="27.6" thickBot="1" x14ac:dyDescent="1.05">
      <c r="B11" s="6">
        <v>7</v>
      </c>
      <c r="C11" s="90">
        <v>45091</v>
      </c>
      <c r="D11" s="91"/>
      <c r="E11" s="92"/>
      <c r="F11" s="93" t="s">
        <v>144</v>
      </c>
      <c r="G11" s="93"/>
      <c r="H11" s="4">
        <v>3000000</v>
      </c>
      <c r="I11" s="94">
        <v>497</v>
      </c>
      <c r="J11" s="95"/>
      <c r="K11" s="94"/>
      <c r="L11" s="96"/>
      <c r="M11" s="96"/>
      <c r="N11" s="95"/>
    </row>
    <row r="12" spans="2:14" ht="27.6" thickBot="1" x14ac:dyDescent="1.05">
      <c r="B12" s="6">
        <v>8</v>
      </c>
      <c r="C12" s="90">
        <v>45091</v>
      </c>
      <c r="D12" s="91"/>
      <c r="E12" s="92"/>
      <c r="F12" s="93" t="s">
        <v>135</v>
      </c>
      <c r="G12" s="93"/>
      <c r="H12" s="4">
        <v>4000000</v>
      </c>
      <c r="I12" s="94">
        <v>498</v>
      </c>
      <c r="J12" s="95"/>
      <c r="K12" s="94"/>
      <c r="L12" s="96"/>
      <c r="M12" s="96"/>
      <c r="N12" s="95"/>
    </row>
    <row r="13" spans="2:14" ht="27.6" thickBot="1" x14ac:dyDescent="1.05">
      <c r="B13" s="6">
        <v>9</v>
      </c>
      <c r="C13" s="90">
        <v>45091</v>
      </c>
      <c r="D13" s="91"/>
      <c r="E13" s="92"/>
      <c r="F13" s="93" t="s">
        <v>295</v>
      </c>
      <c r="G13" s="93"/>
      <c r="H13" s="4">
        <v>3500000</v>
      </c>
      <c r="I13" s="94">
        <v>499</v>
      </c>
      <c r="J13" s="95"/>
      <c r="K13" s="94"/>
      <c r="L13" s="96"/>
      <c r="M13" s="96"/>
      <c r="N13" s="95"/>
    </row>
    <row r="14" spans="2:14" ht="27.6" thickBot="1" x14ac:dyDescent="1.05">
      <c r="B14" s="6">
        <v>10</v>
      </c>
      <c r="C14" s="90">
        <v>45091</v>
      </c>
      <c r="D14" s="91"/>
      <c r="E14" s="92"/>
      <c r="F14" s="93" t="s">
        <v>159</v>
      </c>
      <c r="G14" s="93"/>
      <c r="H14" s="4">
        <v>5500000</v>
      </c>
      <c r="I14" s="94">
        <v>500</v>
      </c>
      <c r="J14" s="95"/>
      <c r="K14" s="94"/>
      <c r="L14" s="96"/>
      <c r="M14" s="96"/>
      <c r="N14" s="95"/>
    </row>
    <row r="15" spans="2:14" ht="27.6" thickBot="1" x14ac:dyDescent="1.05">
      <c r="B15" s="6">
        <v>11</v>
      </c>
      <c r="C15" s="90">
        <v>45092</v>
      </c>
      <c r="D15" s="91"/>
      <c r="E15" s="92"/>
      <c r="F15" s="93" t="s">
        <v>296</v>
      </c>
      <c r="G15" s="93"/>
      <c r="H15" s="4">
        <v>4000000</v>
      </c>
      <c r="I15" s="94">
        <v>501</v>
      </c>
      <c r="J15" s="95"/>
      <c r="K15" s="94"/>
      <c r="L15" s="96"/>
      <c r="M15" s="96"/>
      <c r="N15" s="95"/>
    </row>
    <row r="16" spans="2:14" ht="27.6" thickBot="1" x14ac:dyDescent="1.05">
      <c r="B16" s="6">
        <v>12</v>
      </c>
      <c r="C16" s="90">
        <v>45092</v>
      </c>
      <c r="D16" s="91"/>
      <c r="E16" s="92"/>
      <c r="F16" s="93" t="s">
        <v>110</v>
      </c>
      <c r="G16" s="93"/>
      <c r="H16" s="4">
        <v>3500000</v>
      </c>
      <c r="I16" s="94">
        <v>502</v>
      </c>
      <c r="J16" s="95"/>
      <c r="K16" s="94"/>
      <c r="L16" s="96"/>
      <c r="M16" s="96"/>
      <c r="N16" s="95"/>
    </row>
    <row r="17" spans="2:14" ht="27.6" thickBot="1" x14ac:dyDescent="1.05">
      <c r="B17" s="6">
        <v>13</v>
      </c>
      <c r="C17" s="90">
        <v>45092</v>
      </c>
      <c r="D17" s="91"/>
      <c r="E17" s="92"/>
      <c r="F17" s="93" t="s">
        <v>297</v>
      </c>
      <c r="G17" s="93"/>
      <c r="H17" s="4">
        <v>81450000</v>
      </c>
      <c r="I17" s="94">
        <v>503</v>
      </c>
      <c r="J17" s="95"/>
      <c r="K17" s="94"/>
      <c r="L17" s="96"/>
      <c r="M17" s="96"/>
      <c r="N17" s="95"/>
    </row>
    <row r="18" spans="2:14" ht="27.6" thickBot="1" x14ac:dyDescent="1.05">
      <c r="B18" s="6">
        <v>14</v>
      </c>
      <c r="C18" s="90">
        <v>45094</v>
      </c>
      <c r="D18" s="91"/>
      <c r="E18" s="92"/>
      <c r="F18" s="93" t="s">
        <v>298</v>
      </c>
      <c r="G18" s="93"/>
      <c r="H18" s="4">
        <v>2500000</v>
      </c>
      <c r="I18" s="94">
        <v>504</v>
      </c>
      <c r="J18" s="95"/>
      <c r="K18" s="94"/>
      <c r="L18" s="96"/>
      <c r="M18" s="96"/>
      <c r="N18" s="95"/>
    </row>
    <row r="19" spans="2:14" ht="27.6" thickBot="1" x14ac:dyDescent="1.05">
      <c r="B19" s="6">
        <v>15</v>
      </c>
      <c r="C19" s="90">
        <v>45094</v>
      </c>
      <c r="D19" s="91"/>
      <c r="E19" s="92"/>
      <c r="F19" s="93" t="s">
        <v>265</v>
      </c>
      <c r="G19" s="93"/>
      <c r="H19" s="4">
        <v>35000000</v>
      </c>
      <c r="I19" s="94">
        <v>505</v>
      </c>
      <c r="J19" s="95"/>
      <c r="K19" s="94"/>
      <c r="L19" s="96"/>
      <c r="M19" s="96"/>
      <c r="N19" s="95"/>
    </row>
    <row r="20" spans="2:14" ht="27.6" thickBot="1" x14ac:dyDescent="1.05">
      <c r="B20" s="6">
        <v>16</v>
      </c>
      <c r="C20" s="90">
        <v>45092</v>
      </c>
      <c r="D20" s="91"/>
      <c r="E20" s="92"/>
      <c r="F20" s="93" t="s">
        <v>21</v>
      </c>
      <c r="G20" s="93"/>
      <c r="H20" s="4">
        <v>1300000</v>
      </c>
      <c r="I20" s="94">
        <v>506</v>
      </c>
      <c r="J20" s="95"/>
      <c r="K20" s="94"/>
      <c r="L20" s="96"/>
      <c r="M20" s="96"/>
      <c r="N20" s="95"/>
    </row>
    <row r="21" spans="2:14" ht="27.6" thickBot="1" x14ac:dyDescent="1.05">
      <c r="B21" s="6">
        <v>17</v>
      </c>
      <c r="C21" s="90">
        <v>45092</v>
      </c>
      <c r="D21" s="91"/>
      <c r="E21" s="92"/>
      <c r="F21" s="93" t="s">
        <v>41</v>
      </c>
      <c r="G21" s="93"/>
      <c r="H21" s="4">
        <v>900300</v>
      </c>
      <c r="I21" s="94">
        <v>507</v>
      </c>
      <c r="J21" s="95"/>
      <c r="K21" s="94"/>
      <c r="L21" s="96"/>
      <c r="M21" s="96"/>
      <c r="N21" s="95"/>
    </row>
    <row r="22" spans="2:14" ht="27.6" thickBot="1" x14ac:dyDescent="1.05">
      <c r="B22" s="6">
        <v>18</v>
      </c>
      <c r="C22" s="90">
        <v>45092</v>
      </c>
      <c r="D22" s="91"/>
      <c r="E22" s="92"/>
      <c r="F22" s="93" t="s">
        <v>299</v>
      </c>
      <c r="G22" s="93"/>
      <c r="H22" s="4">
        <v>3000000</v>
      </c>
      <c r="I22" s="94">
        <v>508</v>
      </c>
      <c r="J22" s="95"/>
      <c r="K22" s="94"/>
      <c r="L22" s="96"/>
      <c r="M22" s="96"/>
      <c r="N22" s="95"/>
    </row>
    <row r="23" spans="2:14" ht="27.6" thickBot="1" x14ac:dyDescent="1.05">
      <c r="B23" s="6">
        <v>19</v>
      </c>
      <c r="C23" s="90">
        <v>45095</v>
      </c>
      <c r="D23" s="91"/>
      <c r="E23" s="92"/>
      <c r="F23" s="93" t="s">
        <v>300</v>
      </c>
      <c r="G23" s="93"/>
      <c r="H23" s="4">
        <v>49500000</v>
      </c>
      <c r="I23" s="94">
        <v>509</v>
      </c>
      <c r="J23" s="95"/>
      <c r="K23" s="94"/>
      <c r="L23" s="96"/>
      <c r="M23" s="96"/>
      <c r="N23" s="95"/>
    </row>
    <row r="24" spans="2:14" ht="27.6" thickBot="1" x14ac:dyDescent="1.05">
      <c r="B24" s="6">
        <v>20</v>
      </c>
      <c r="C24" s="90">
        <v>45095</v>
      </c>
      <c r="D24" s="91"/>
      <c r="E24" s="92"/>
      <c r="F24" s="93" t="s">
        <v>301</v>
      </c>
      <c r="G24" s="93"/>
      <c r="H24" s="4">
        <v>1025000</v>
      </c>
      <c r="I24" s="94">
        <v>510</v>
      </c>
      <c r="J24" s="95"/>
      <c r="K24" s="94"/>
      <c r="L24" s="96"/>
      <c r="M24" s="96"/>
      <c r="N24" s="95"/>
    </row>
    <row r="25" spans="2:14" ht="27.6" thickBot="1" x14ac:dyDescent="1.05">
      <c r="B25" s="6">
        <v>21</v>
      </c>
      <c r="C25" s="90">
        <v>45096</v>
      </c>
      <c r="D25" s="91"/>
      <c r="E25" s="92"/>
      <c r="F25" s="93" t="s">
        <v>302</v>
      </c>
      <c r="G25" s="93"/>
      <c r="H25" s="4">
        <v>30160000</v>
      </c>
      <c r="I25" s="94">
        <v>511</v>
      </c>
      <c r="J25" s="95"/>
      <c r="K25" s="94"/>
      <c r="L25" s="96"/>
      <c r="M25" s="96"/>
      <c r="N25" s="95"/>
    </row>
    <row r="26" spans="2:14" ht="27.6" thickBot="1" x14ac:dyDescent="1.05">
      <c r="B26" s="6">
        <v>22</v>
      </c>
      <c r="C26" s="90">
        <v>45096</v>
      </c>
      <c r="D26" s="91"/>
      <c r="E26" s="92"/>
      <c r="F26" s="93" t="s">
        <v>59</v>
      </c>
      <c r="G26" s="93"/>
      <c r="H26" s="4">
        <v>2760000</v>
      </c>
      <c r="I26" s="94">
        <v>512</v>
      </c>
      <c r="J26" s="95"/>
      <c r="K26" s="94"/>
      <c r="L26" s="96"/>
      <c r="M26" s="96"/>
      <c r="N26" s="95"/>
    </row>
    <row r="27" spans="2:14" ht="27.6" thickBot="1" x14ac:dyDescent="1.05">
      <c r="B27" s="6">
        <v>23</v>
      </c>
      <c r="C27" s="90">
        <v>45096</v>
      </c>
      <c r="D27" s="91"/>
      <c r="E27" s="92"/>
      <c r="F27" s="93" t="s">
        <v>303</v>
      </c>
      <c r="G27" s="93"/>
      <c r="H27" s="4">
        <v>1500000</v>
      </c>
      <c r="I27" s="94">
        <v>513</v>
      </c>
      <c r="J27" s="95"/>
      <c r="K27" s="94"/>
      <c r="L27" s="96"/>
      <c r="M27" s="96"/>
      <c r="N27" s="95"/>
    </row>
    <row r="28" spans="2:14" ht="27.6" thickBot="1" x14ac:dyDescent="1.05">
      <c r="B28" s="6">
        <v>24</v>
      </c>
      <c r="C28" s="90">
        <v>45097</v>
      </c>
      <c r="D28" s="91"/>
      <c r="E28" s="92"/>
      <c r="F28" s="93" t="s">
        <v>59</v>
      </c>
      <c r="G28" s="93"/>
      <c r="H28" s="4">
        <v>2760000</v>
      </c>
      <c r="I28" s="94">
        <v>514</v>
      </c>
      <c r="J28" s="95"/>
      <c r="K28" s="94"/>
      <c r="L28" s="96"/>
      <c r="M28" s="96"/>
      <c r="N28" s="95"/>
    </row>
    <row r="29" spans="2:14" ht="27.6" thickBot="1" x14ac:dyDescent="1.05">
      <c r="B29" s="6"/>
      <c r="C29" s="90">
        <v>45097</v>
      </c>
      <c r="D29" s="91"/>
      <c r="E29" s="92"/>
      <c r="F29" s="94" t="s">
        <v>304</v>
      </c>
      <c r="G29" s="95"/>
      <c r="H29" s="4">
        <v>1000000</v>
      </c>
      <c r="I29" s="94">
        <v>515</v>
      </c>
      <c r="J29" s="95"/>
      <c r="K29" s="94"/>
      <c r="L29" s="96"/>
      <c r="M29" s="96"/>
      <c r="N29" s="95"/>
    </row>
    <row r="30" spans="2:14" ht="27.6" thickBot="1" x14ac:dyDescent="1.05">
      <c r="B30" s="6">
        <v>25</v>
      </c>
      <c r="C30" s="90">
        <v>45098</v>
      </c>
      <c r="D30" s="91"/>
      <c r="E30" s="92"/>
      <c r="F30" s="94" t="s">
        <v>305</v>
      </c>
      <c r="G30" s="95"/>
      <c r="H30" s="4">
        <v>1400000</v>
      </c>
      <c r="I30" s="94">
        <v>516</v>
      </c>
      <c r="J30" s="95"/>
      <c r="K30" s="112"/>
      <c r="L30" s="113"/>
      <c r="M30" s="113"/>
      <c r="N30" s="114"/>
    </row>
    <row r="31" spans="2:14" s="1" customFormat="1" ht="29.4" customHeight="1" thickTop="1" thickBot="1" x14ac:dyDescent="0.3">
      <c r="B31" s="102" t="s">
        <v>12</v>
      </c>
      <c r="C31" s="102"/>
      <c r="D31" s="102"/>
      <c r="E31" s="102"/>
      <c r="F31" s="102"/>
      <c r="G31" s="103">
        <f>SUM(H6:H30)</f>
        <v>305555300</v>
      </c>
      <c r="H31" s="104"/>
      <c r="I31" s="104"/>
      <c r="J31" s="105"/>
      <c r="K31" s="106"/>
      <c r="L31" s="107"/>
      <c r="M31" s="107"/>
      <c r="N31" s="108"/>
    </row>
    <row r="32" spans="2:14" s="1" customFormat="1" ht="29.4" customHeight="1" thickBot="1" x14ac:dyDescent="0.3">
      <c r="B32" s="100" t="s">
        <v>13</v>
      </c>
      <c r="C32" s="100"/>
      <c r="D32" s="100"/>
      <c r="E32" s="100"/>
      <c r="F32" s="100"/>
      <c r="G32" s="109"/>
      <c r="H32" s="110"/>
      <c r="I32" s="110"/>
      <c r="J32" s="111"/>
      <c r="K32" s="97"/>
      <c r="L32" s="98"/>
      <c r="M32" s="98"/>
      <c r="N32" s="99"/>
    </row>
    <row r="33" spans="2:14" ht="82.2" customHeight="1" thickBot="1" x14ac:dyDescent="0.3">
      <c r="B33" s="101" t="s">
        <v>14</v>
      </c>
      <c r="C33" s="101"/>
      <c r="D33" s="101"/>
      <c r="E33" s="101"/>
      <c r="F33" s="101" t="s">
        <v>15</v>
      </c>
      <c r="G33" s="101"/>
      <c r="H33" s="101" t="s">
        <v>16</v>
      </c>
      <c r="I33" s="101"/>
      <c r="J33" s="101" t="s">
        <v>17</v>
      </c>
      <c r="K33" s="101"/>
      <c r="L33" s="101"/>
      <c r="M33" s="101"/>
      <c r="N33" s="101"/>
    </row>
  </sheetData>
  <mergeCells count="122">
    <mergeCell ref="B33:E33"/>
    <mergeCell ref="F33:G33"/>
    <mergeCell ref="H33:I33"/>
    <mergeCell ref="J33:N33"/>
    <mergeCell ref="B31:F31"/>
    <mergeCell ref="G31:J31"/>
    <mergeCell ref="K31:N31"/>
    <mergeCell ref="B32:F32"/>
    <mergeCell ref="G32:J32"/>
    <mergeCell ref="K32:N32"/>
    <mergeCell ref="C29:E29"/>
    <mergeCell ref="F29:G29"/>
    <mergeCell ref="I29:J29"/>
    <mergeCell ref="K29:N29"/>
    <mergeCell ref="C30:E30"/>
    <mergeCell ref="F30:G30"/>
    <mergeCell ref="I30:J30"/>
    <mergeCell ref="K30:N30"/>
    <mergeCell ref="C27:E27"/>
    <mergeCell ref="F27:G27"/>
    <mergeCell ref="I27:J27"/>
    <mergeCell ref="K27:N27"/>
    <mergeCell ref="C28:E28"/>
    <mergeCell ref="F28:G28"/>
    <mergeCell ref="I28:J28"/>
    <mergeCell ref="K28:N28"/>
    <mergeCell ref="C25:E25"/>
    <mergeCell ref="F25:G25"/>
    <mergeCell ref="I25:J25"/>
    <mergeCell ref="K25:N25"/>
    <mergeCell ref="C26:E26"/>
    <mergeCell ref="F26:G26"/>
    <mergeCell ref="I26:J26"/>
    <mergeCell ref="K26:N26"/>
    <mergeCell ref="C23:E23"/>
    <mergeCell ref="F23:G23"/>
    <mergeCell ref="I23:J23"/>
    <mergeCell ref="K23:N23"/>
    <mergeCell ref="C24:E24"/>
    <mergeCell ref="F24:G24"/>
    <mergeCell ref="I24:J24"/>
    <mergeCell ref="K24:N24"/>
    <mergeCell ref="C21:E21"/>
    <mergeCell ref="F21:G21"/>
    <mergeCell ref="I21:J21"/>
    <mergeCell ref="K21:N21"/>
    <mergeCell ref="C22:E22"/>
    <mergeCell ref="F22:G22"/>
    <mergeCell ref="I22:J22"/>
    <mergeCell ref="K22:N22"/>
    <mergeCell ref="C19:E19"/>
    <mergeCell ref="F19:G19"/>
    <mergeCell ref="I19:J19"/>
    <mergeCell ref="K19:N19"/>
    <mergeCell ref="C20:E20"/>
    <mergeCell ref="F20:G20"/>
    <mergeCell ref="I20:J20"/>
    <mergeCell ref="K20:N20"/>
    <mergeCell ref="C17:E17"/>
    <mergeCell ref="F17:G17"/>
    <mergeCell ref="I17:J17"/>
    <mergeCell ref="K17:N17"/>
    <mergeCell ref="C18:E18"/>
    <mergeCell ref="F18:G18"/>
    <mergeCell ref="I18:J18"/>
    <mergeCell ref="K18:N18"/>
    <mergeCell ref="C15:E15"/>
    <mergeCell ref="F15:G15"/>
    <mergeCell ref="I15:J15"/>
    <mergeCell ref="K15:N15"/>
    <mergeCell ref="C16:E16"/>
    <mergeCell ref="F16:G16"/>
    <mergeCell ref="I16:J16"/>
    <mergeCell ref="K16:N16"/>
    <mergeCell ref="C13:E13"/>
    <mergeCell ref="F13:G13"/>
    <mergeCell ref="I13:J13"/>
    <mergeCell ref="K13:N13"/>
    <mergeCell ref="C14:E14"/>
    <mergeCell ref="F14:G14"/>
    <mergeCell ref="I14:J14"/>
    <mergeCell ref="K14:N14"/>
    <mergeCell ref="C11:E11"/>
    <mergeCell ref="F11:G11"/>
    <mergeCell ref="I11:J11"/>
    <mergeCell ref="K11:N11"/>
    <mergeCell ref="C12:E12"/>
    <mergeCell ref="F12:G12"/>
    <mergeCell ref="I12:J12"/>
    <mergeCell ref="K12:N12"/>
    <mergeCell ref="C9:E9"/>
    <mergeCell ref="F9:G9"/>
    <mergeCell ref="I9:J9"/>
    <mergeCell ref="K9:N9"/>
    <mergeCell ref="C10:E10"/>
    <mergeCell ref="F10:G10"/>
    <mergeCell ref="I10:J10"/>
    <mergeCell ref="K10:N10"/>
    <mergeCell ref="C7:E7"/>
    <mergeCell ref="F7:G7"/>
    <mergeCell ref="I7:J7"/>
    <mergeCell ref="K7:N7"/>
    <mergeCell ref="C8:E8"/>
    <mergeCell ref="F8:G8"/>
    <mergeCell ref="I8:J8"/>
    <mergeCell ref="K8:N8"/>
    <mergeCell ref="C5:E5"/>
    <mergeCell ref="F5:G5"/>
    <mergeCell ref="I5:J5"/>
    <mergeCell ref="K5:N5"/>
    <mergeCell ref="C6:E6"/>
    <mergeCell ref="F6:G6"/>
    <mergeCell ref="I6:J6"/>
    <mergeCell ref="K6:N6"/>
    <mergeCell ref="B2:E3"/>
    <mergeCell ref="F2:H3"/>
    <mergeCell ref="J2:K2"/>
    <mergeCell ref="M2:N2"/>
    <mergeCell ref="J3:N3"/>
    <mergeCell ref="B4:D4"/>
    <mergeCell ref="E4:F4"/>
    <mergeCell ref="J4:N4"/>
  </mergeCells>
  <printOptions horizontalCentered="1" verticalCentered="1"/>
  <pageMargins left="0" right="0.23622047244094491" top="0" bottom="0.17" header="0" footer="0.4"/>
  <pageSetup paperSize="9" scale="71" orientation="portrait" r:id="rId1"/>
  <colBreaks count="2" manualBreakCount="2">
    <brk id="1" max="1048575" man="1"/>
    <brk id="10" min="1" max="32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 tint="0.59999389629810485"/>
    <pageSetUpPr fitToPage="1"/>
  </sheetPr>
  <dimension ref="B1:N33"/>
  <sheetViews>
    <sheetView rightToLeft="1" showWhiteSpace="0" topLeftCell="C1" zoomScale="70" zoomScaleNormal="70" zoomScalePageLayoutView="40" workbookViewId="0">
      <selection activeCell="T1" sqref="T1:V1048576"/>
    </sheetView>
  </sheetViews>
  <sheetFormatPr defaultRowHeight="13.8" x14ac:dyDescent="0.25"/>
  <cols>
    <col min="2" max="2" width="5.5" customWidth="1"/>
    <col min="3" max="3" width="4.19921875" customWidth="1"/>
    <col min="4" max="4" width="7.19921875" customWidth="1"/>
    <col min="5" max="5" width="4" customWidth="1"/>
    <col min="6" max="6" width="15.59765625" customWidth="1"/>
    <col min="7" max="7" width="17.09765625" customWidth="1"/>
    <col min="8" max="8" width="19.69921875" customWidth="1"/>
    <col min="9" max="9" width="12.5" bestFit="1" customWidth="1"/>
    <col min="10" max="10" width="4.69921875" customWidth="1"/>
    <col min="11" max="11" width="13.5" customWidth="1"/>
    <col min="12" max="13" width="9.5" customWidth="1"/>
    <col min="14" max="14" width="5.09765625" customWidth="1"/>
  </cols>
  <sheetData>
    <row r="1" spans="2:14" ht="14.4" thickBot="1" x14ac:dyDescent="0.3"/>
    <row r="2" spans="2:14" ht="24.6" customHeight="1" thickBot="1" x14ac:dyDescent="0.8">
      <c r="B2" s="81"/>
      <c r="C2" s="81"/>
      <c r="D2" s="81"/>
      <c r="E2" s="81"/>
      <c r="F2" s="82" t="s">
        <v>18</v>
      </c>
      <c r="G2" s="82"/>
      <c r="H2" s="82"/>
      <c r="I2" s="64" t="s">
        <v>0</v>
      </c>
      <c r="J2" s="83"/>
      <c r="K2" s="84"/>
      <c r="L2" s="64" t="s">
        <v>1</v>
      </c>
      <c r="M2" s="83"/>
      <c r="N2" s="84"/>
    </row>
    <row r="3" spans="2:14" ht="34.950000000000003" customHeight="1" thickBot="1" x14ac:dyDescent="0.3">
      <c r="B3" s="81"/>
      <c r="C3" s="81"/>
      <c r="D3" s="81"/>
      <c r="E3" s="81"/>
      <c r="F3" s="82"/>
      <c r="G3" s="82"/>
      <c r="H3" s="82"/>
      <c r="I3" s="9" t="s">
        <v>4</v>
      </c>
      <c r="J3" s="85"/>
      <c r="K3" s="85"/>
      <c r="L3" s="85"/>
      <c r="M3" s="85"/>
      <c r="N3" s="86"/>
    </row>
    <row r="4" spans="2:14" ht="24" thickBot="1" x14ac:dyDescent="0.8">
      <c r="B4" s="87" t="s">
        <v>2</v>
      </c>
      <c r="C4" s="87"/>
      <c r="D4" s="88"/>
      <c r="E4" s="84"/>
      <c r="F4" s="89"/>
      <c r="G4" s="64" t="s">
        <v>3</v>
      </c>
      <c r="H4" s="2" t="s">
        <v>239</v>
      </c>
      <c r="I4" s="64" t="s">
        <v>5</v>
      </c>
      <c r="J4" s="83"/>
      <c r="K4" s="83"/>
      <c r="L4" s="83"/>
      <c r="M4" s="83"/>
      <c r="N4" s="84"/>
    </row>
    <row r="5" spans="2:14" s="1" customFormat="1" ht="29.4" customHeight="1" thickBot="1" x14ac:dyDescent="0.3">
      <c r="B5" s="63" t="s">
        <v>6</v>
      </c>
      <c r="C5" s="100" t="s">
        <v>7</v>
      </c>
      <c r="D5" s="100"/>
      <c r="E5" s="100"/>
      <c r="F5" s="100" t="s">
        <v>8</v>
      </c>
      <c r="G5" s="100"/>
      <c r="H5" s="63" t="s">
        <v>9</v>
      </c>
      <c r="I5" s="97" t="s">
        <v>10</v>
      </c>
      <c r="J5" s="99"/>
      <c r="K5" s="97" t="s">
        <v>11</v>
      </c>
      <c r="L5" s="98"/>
      <c r="M5" s="98"/>
      <c r="N5" s="99"/>
    </row>
    <row r="6" spans="2:14" ht="27.6" thickBot="1" x14ac:dyDescent="1.05">
      <c r="B6" s="6">
        <v>2</v>
      </c>
      <c r="C6" s="90">
        <v>45073</v>
      </c>
      <c r="D6" s="91"/>
      <c r="E6" s="92"/>
      <c r="F6" s="93" t="s">
        <v>41</v>
      </c>
      <c r="G6" s="93"/>
      <c r="H6" s="4">
        <v>1600000</v>
      </c>
      <c r="I6" s="94">
        <v>467</v>
      </c>
      <c r="J6" s="95"/>
      <c r="K6" s="94"/>
      <c r="L6" s="96"/>
      <c r="M6" s="96"/>
      <c r="N6" s="95"/>
    </row>
    <row r="7" spans="2:14" ht="27.6" thickBot="1" x14ac:dyDescent="1.05">
      <c r="B7" s="6">
        <v>3</v>
      </c>
      <c r="C7" s="90">
        <v>45076</v>
      </c>
      <c r="D7" s="91"/>
      <c r="E7" s="92"/>
      <c r="F7" s="93" t="s">
        <v>277</v>
      </c>
      <c r="G7" s="93"/>
      <c r="H7" s="4">
        <v>37000000</v>
      </c>
      <c r="I7" s="94">
        <v>468</v>
      </c>
      <c r="J7" s="95"/>
      <c r="K7" s="94"/>
      <c r="L7" s="96"/>
      <c r="M7" s="96"/>
      <c r="N7" s="95"/>
    </row>
    <row r="8" spans="2:14" s="1" customFormat="1" ht="27.6" thickBot="1" x14ac:dyDescent="0.35">
      <c r="B8" s="14">
        <v>4</v>
      </c>
      <c r="C8" s="90">
        <v>45077</v>
      </c>
      <c r="D8" s="91"/>
      <c r="E8" s="92"/>
      <c r="F8" s="93" t="s">
        <v>278</v>
      </c>
      <c r="G8" s="93"/>
      <c r="H8" s="4">
        <v>1500000</v>
      </c>
      <c r="I8" s="94">
        <v>469</v>
      </c>
      <c r="J8" s="95"/>
      <c r="K8" s="97"/>
      <c r="L8" s="98"/>
      <c r="M8" s="98"/>
      <c r="N8" s="99"/>
    </row>
    <row r="9" spans="2:14" ht="27.6" thickBot="1" x14ac:dyDescent="1.05">
      <c r="B9" s="6">
        <v>5</v>
      </c>
      <c r="C9" s="90">
        <v>45077</v>
      </c>
      <c r="D9" s="91"/>
      <c r="E9" s="92"/>
      <c r="F9" s="93" t="s">
        <v>144</v>
      </c>
      <c r="G9" s="93"/>
      <c r="H9" s="4">
        <v>1600000</v>
      </c>
      <c r="I9" s="94">
        <v>470</v>
      </c>
      <c r="J9" s="95"/>
      <c r="K9" s="94"/>
      <c r="L9" s="96"/>
      <c r="M9" s="96"/>
      <c r="N9" s="95"/>
    </row>
    <row r="10" spans="2:14" ht="27.6" thickBot="1" x14ac:dyDescent="1.05">
      <c r="B10" s="6">
        <v>6</v>
      </c>
      <c r="C10" s="90">
        <v>45078</v>
      </c>
      <c r="D10" s="91"/>
      <c r="E10" s="92"/>
      <c r="F10" s="93" t="s">
        <v>110</v>
      </c>
      <c r="G10" s="93"/>
      <c r="H10" s="4">
        <v>1500000</v>
      </c>
      <c r="I10" s="94">
        <v>471</v>
      </c>
      <c r="J10" s="95"/>
      <c r="K10" s="94"/>
      <c r="L10" s="96"/>
      <c r="M10" s="96"/>
      <c r="N10" s="95"/>
    </row>
    <row r="11" spans="2:14" ht="27.6" thickBot="1" x14ac:dyDescent="1.05">
      <c r="B11" s="6">
        <v>7</v>
      </c>
      <c r="C11" s="90">
        <v>45078</v>
      </c>
      <c r="D11" s="91"/>
      <c r="E11" s="92"/>
      <c r="F11" s="93" t="s">
        <v>279</v>
      </c>
      <c r="G11" s="93"/>
      <c r="H11" s="4">
        <v>500000</v>
      </c>
      <c r="I11" s="94">
        <v>472</v>
      </c>
      <c r="J11" s="95"/>
      <c r="K11" s="94"/>
      <c r="L11" s="96"/>
      <c r="M11" s="96"/>
      <c r="N11" s="95"/>
    </row>
    <row r="12" spans="2:14" ht="27.6" thickBot="1" x14ac:dyDescent="1.05">
      <c r="B12" s="6">
        <v>8</v>
      </c>
      <c r="C12" s="90">
        <v>45072</v>
      </c>
      <c r="D12" s="91"/>
      <c r="E12" s="92"/>
      <c r="F12" s="93" t="s">
        <v>280</v>
      </c>
      <c r="G12" s="93"/>
      <c r="H12" s="4">
        <v>2800000</v>
      </c>
      <c r="I12" s="94">
        <v>473</v>
      </c>
      <c r="J12" s="95"/>
      <c r="K12" s="94"/>
      <c r="L12" s="96"/>
      <c r="M12" s="96"/>
      <c r="N12" s="95"/>
    </row>
    <row r="13" spans="2:14" ht="27.6" thickBot="1" x14ac:dyDescent="1.05">
      <c r="B13" s="6">
        <v>9</v>
      </c>
      <c r="C13" s="90">
        <v>45074</v>
      </c>
      <c r="D13" s="91"/>
      <c r="E13" s="92"/>
      <c r="F13" s="93" t="s">
        <v>21</v>
      </c>
      <c r="G13" s="93"/>
      <c r="H13" s="4">
        <v>1100000</v>
      </c>
      <c r="I13" s="94">
        <v>474</v>
      </c>
      <c r="J13" s="95"/>
      <c r="K13" s="94"/>
      <c r="L13" s="96"/>
      <c r="M13" s="96"/>
      <c r="N13" s="95"/>
    </row>
    <row r="14" spans="2:14" ht="27.6" thickBot="1" x14ac:dyDescent="1.05">
      <c r="B14" s="6">
        <v>10</v>
      </c>
      <c r="C14" s="90">
        <v>45074</v>
      </c>
      <c r="D14" s="91"/>
      <c r="E14" s="92"/>
      <c r="F14" s="93" t="s">
        <v>289</v>
      </c>
      <c r="G14" s="93"/>
      <c r="H14" s="4">
        <v>1600000</v>
      </c>
      <c r="I14" s="94">
        <v>475</v>
      </c>
      <c r="J14" s="95"/>
      <c r="K14" s="94"/>
      <c r="L14" s="96"/>
      <c r="M14" s="96"/>
      <c r="N14" s="95"/>
    </row>
    <row r="15" spans="2:14" ht="27.6" thickBot="1" x14ac:dyDescent="1.05">
      <c r="B15" s="6">
        <v>11</v>
      </c>
      <c r="C15" s="90">
        <v>45076</v>
      </c>
      <c r="D15" s="91"/>
      <c r="E15" s="92"/>
      <c r="F15" s="93" t="s">
        <v>21</v>
      </c>
      <c r="G15" s="93"/>
      <c r="H15" s="4">
        <v>1280000</v>
      </c>
      <c r="I15" s="94">
        <v>476</v>
      </c>
      <c r="J15" s="95"/>
      <c r="K15" s="94"/>
      <c r="L15" s="96"/>
      <c r="M15" s="96"/>
      <c r="N15" s="95"/>
    </row>
    <row r="16" spans="2:14" ht="27.6" thickBot="1" x14ac:dyDescent="1.05">
      <c r="B16" s="6">
        <v>12</v>
      </c>
      <c r="C16" s="90">
        <v>45076</v>
      </c>
      <c r="D16" s="91"/>
      <c r="E16" s="92"/>
      <c r="F16" s="93" t="s">
        <v>281</v>
      </c>
      <c r="G16" s="93"/>
      <c r="H16" s="4">
        <v>4000000</v>
      </c>
      <c r="I16" s="94">
        <v>477</v>
      </c>
      <c r="J16" s="95"/>
      <c r="K16" s="94"/>
      <c r="L16" s="96"/>
      <c r="M16" s="96"/>
      <c r="N16" s="95"/>
    </row>
    <row r="17" spans="2:14" ht="27.6" thickBot="1" x14ac:dyDescent="1.05">
      <c r="B17" s="6">
        <v>13</v>
      </c>
      <c r="C17" s="90">
        <v>45076</v>
      </c>
      <c r="D17" s="91"/>
      <c r="E17" s="92"/>
      <c r="F17" s="93" t="s">
        <v>41</v>
      </c>
      <c r="G17" s="93"/>
      <c r="H17" s="4">
        <v>900000</v>
      </c>
      <c r="I17" s="94">
        <v>478</v>
      </c>
      <c r="J17" s="95"/>
      <c r="K17" s="94"/>
      <c r="L17" s="96"/>
      <c r="M17" s="96"/>
      <c r="N17" s="95"/>
    </row>
    <row r="18" spans="2:14" ht="27.6" thickBot="1" x14ac:dyDescent="1.05">
      <c r="B18" s="6">
        <v>14</v>
      </c>
      <c r="C18" s="90">
        <v>45078</v>
      </c>
      <c r="D18" s="91"/>
      <c r="E18" s="92"/>
      <c r="F18" s="93" t="s">
        <v>282</v>
      </c>
      <c r="G18" s="93"/>
      <c r="H18" s="4">
        <v>800000</v>
      </c>
      <c r="I18" s="94">
        <v>479</v>
      </c>
      <c r="J18" s="95"/>
      <c r="K18" s="94"/>
      <c r="L18" s="96"/>
      <c r="M18" s="96"/>
      <c r="N18" s="95"/>
    </row>
    <row r="19" spans="2:14" ht="27.6" thickBot="1" x14ac:dyDescent="1.05">
      <c r="B19" s="6">
        <v>15</v>
      </c>
      <c r="C19" s="90">
        <v>45078</v>
      </c>
      <c r="D19" s="91"/>
      <c r="E19" s="92"/>
      <c r="F19" s="93" t="s">
        <v>288</v>
      </c>
      <c r="G19" s="93"/>
      <c r="H19" s="4">
        <v>8600000</v>
      </c>
      <c r="I19" s="94">
        <v>480</v>
      </c>
      <c r="J19" s="95"/>
      <c r="K19" s="94"/>
      <c r="L19" s="96"/>
      <c r="M19" s="96"/>
      <c r="N19" s="95"/>
    </row>
    <row r="20" spans="2:14" ht="27.6" thickBot="1" x14ac:dyDescent="1.05">
      <c r="B20" s="6">
        <v>16</v>
      </c>
      <c r="C20" s="90">
        <v>45081</v>
      </c>
      <c r="D20" s="91"/>
      <c r="E20" s="92"/>
      <c r="F20" s="93" t="s">
        <v>283</v>
      </c>
      <c r="G20" s="93"/>
      <c r="H20" s="4">
        <v>7640000</v>
      </c>
      <c r="I20" s="94">
        <v>481</v>
      </c>
      <c r="J20" s="95"/>
      <c r="K20" s="94"/>
      <c r="L20" s="96"/>
      <c r="M20" s="96"/>
      <c r="N20" s="95"/>
    </row>
    <row r="21" spans="2:14" ht="27.6" thickBot="1" x14ac:dyDescent="1.05">
      <c r="B21" s="6">
        <v>17</v>
      </c>
      <c r="C21" s="90">
        <v>45081</v>
      </c>
      <c r="D21" s="91"/>
      <c r="E21" s="92"/>
      <c r="F21" s="93" t="s">
        <v>21</v>
      </c>
      <c r="G21" s="93"/>
      <c r="H21" s="4">
        <v>1100000</v>
      </c>
      <c r="I21" s="94">
        <v>482</v>
      </c>
      <c r="J21" s="95"/>
      <c r="K21" s="94"/>
      <c r="L21" s="96"/>
      <c r="M21" s="96"/>
      <c r="N21" s="95"/>
    </row>
    <row r="22" spans="2:14" ht="27.6" thickBot="1" x14ac:dyDescent="1.05">
      <c r="B22" s="6">
        <v>18</v>
      </c>
      <c r="C22" s="90">
        <v>45083</v>
      </c>
      <c r="D22" s="91"/>
      <c r="E22" s="92"/>
      <c r="F22" s="93" t="s">
        <v>287</v>
      </c>
      <c r="G22" s="93"/>
      <c r="H22" s="4">
        <v>33500000</v>
      </c>
      <c r="I22" s="94">
        <v>483</v>
      </c>
      <c r="J22" s="95"/>
      <c r="K22" s="94"/>
      <c r="L22" s="96"/>
      <c r="M22" s="96"/>
      <c r="N22" s="95"/>
    </row>
    <row r="23" spans="2:14" ht="27.6" thickBot="1" x14ac:dyDescent="1.05">
      <c r="B23" s="6">
        <v>19</v>
      </c>
      <c r="C23" s="90">
        <v>45083</v>
      </c>
      <c r="D23" s="91"/>
      <c r="E23" s="92"/>
      <c r="F23" s="93" t="s">
        <v>284</v>
      </c>
      <c r="G23" s="93"/>
      <c r="H23" s="4">
        <v>3600000</v>
      </c>
      <c r="I23" s="94">
        <v>484</v>
      </c>
      <c r="J23" s="95"/>
      <c r="K23" s="94"/>
      <c r="L23" s="96"/>
      <c r="M23" s="96"/>
      <c r="N23" s="95"/>
    </row>
    <row r="24" spans="2:14" ht="27.6" thickBot="1" x14ac:dyDescent="1.05">
      <c r="B24" s="6">
        <v>20</v>
      </c>
      <c r="C24" s="90">
        <v>45083</v>
      </c>
      <c r="D24" s="91"/>
      <c r="E24" s="92"/>
      <c r="F24" s="93" t="s">
        <v>59</v>
      </c>
      <c r="G24" s="93"/>
      <c r="H24" s="4">
        <v>11240000</v>
      </c>
      <c r="I24" s="94">
        <v>485</v>
      </c>
      <c r="J24" s="95"/>
      <c r="K24" s="94"/>
      <c r="L24" s="96"/>
      <c r="M24" s="96"/>
      <c r="N24" s="95"/>
    </row>
    <row r="25" spans="2:14" ht="27.6" thickBot="1" x14ac:dyDescent="1.05">
      <c r="B25" s="6">
        <v>21</v>
      </c>
      <c r="C25" s="90">
        <v>45083</v>
      </c>
      <c r="D25" s="91"/>
      <c r="E25" s="92"/>
      <c r="F25" s="93" t="s">
        <v>21</v>
      </c>
      <c r="G25" s="93"/>
      <c r="H25" s="4">
        <v>1200000</v>
      </c>
      <c r="I25" s="94">
        <v>486</v>
      </c>
      <c r="J25" s="95"/>
      <c r="K25" s="94"/>
      <c r="L25" s="96"/>
      <c r="M25" s="96"/>
      <c r="N25" s="95"/>
    </row>
    <row r="26" spans="2:14" ht="27.6" thickBot="1" x14ac:dyDescent="1.05">
      <c r="B26" s="6">
        <v>22</v>
      </c>
      <c r="C26" s="90">
        <v>45083</v>
      </c>
      <c r="D26" s="91"/>
      <c r="E26" s="92"/>
      <c r="F26" s="93" t="s">
        <v>285</v>
      </c>
      <c r="G26" s="93"/>
      <c r="H26" s="4">
        <v>3000000</v>
      </c>
      <c r="I26" s="94">
        <v>487</v>
      </c>
      <c r="J26" s="95"/>
      <c r="K26" s="94"/>
      <c r="L26" s="96"/>
      <c r="M26" s="96"/>
      <c r="N26" s="95"/>
    </row>
    <row r="27" spans="2:14" ht="27.6" thickBot="1" x14ac:dyDescent="1.05">
      <c r="B27" s="6">
        <v>23</v>
      </c>
      <c r="C27" s="90">
        <v>45084</v>
      </c>
      <c r="D27" s="91"/>
      <c r="E27" s="92"/>
      <c r="F27" s="93" t="s">
        <v>286</v>
      </c>
      <c r="G27" s="93"/>
      <c r="H27" s="4">
        <v>1550000</v>
      </c>
      <c r="I27" s="94">
        <v>488</v>
      </c>
      <c r="J27" s="95"/>
      <c r="K27" s="94"/>
      <c r="L27" s="96"/>
      <c r="M27" s="96"/>
      <c r="N27" s="95"/>
    </row>
    <row r="28" spans="2:14" ht="27.6" thickBot="1" x14ac:dyDescent="1.05">
      <c r="B28" s="6">
        <v>24</v>
      </c>
      <c r="C28" s="90">
        <v>45084</v>
      </c>
      <c r="D28" s="91"/>
      <c r="E28" s="92"/>
      <c r="F28" s="93" t="s">
        <v>319</v>
      </c>
      <c r="G28" s="93"/>
      <c r="H28" s="4">
        <v>2330000</v>
      </c>
      <c r="I28" s="94">
        <v>489</v>
      </c>
      <c r="J28" s="95"/>
      <c r="K28" s="94"/>
      <c r="L28" s="96"/>
      <c r="M28" s="96"/>
      <c r="N28" s="95"/>
    </row>
    <row r="29" spans="2:14" ht="27.6" thickBot="1" x14ac:dyDescent="1.05">
      <c r="B29" s="6"/>
      <c r="C29" s="90">
        <v>45088</v>
      </c>
      <c r="D29" s="91"/>
      <c r="E29" s="92"/>
      <c r="F29" s="94" t="s">
        <v>290</v>
      </c>
      <c r="G29" s="95"/>
      <c r="H29" s="4">
        <v>2310000</v>
      </c>
      <c r="I29" s="94">
        <v>490</v>
      </c>
      <c r="J29" s="95"/>
      <c r="K29" s="94"/>
      <c r="L29" s="96"/>
      <c r="M29" s="96"/>
      <c r="N29" s="95"/>
    </row>
    <row r="30" spans="2:14" ht="27.6" thickBot="1" x14ac:dyDescent="1.05">
      <c r="B30" s="6">
        <v>25</v>
      </c>
      <c r="C30" s="90">
        <v>45087</v>
      </c>
      <c r="D30" s="91"/>
      <c r="E30" s="92"/>
      <c r="F30" s="94" t="s">
        <v>21</v>
      </c>
      <c r="G30" s="95"/>
      <c r="H30" s="4">
        <v>1200000</v>
      </c>
      <c r="I30" s="94">
        <v>491</v>
      </c>
      <c r="J30" s="95"/>
      <c r="K30" s="112"/>
      <c r="L30" s="113"/>
      <c r="M30" s="113"/>
      <c r="N30" s="114"/>
    </row>
    <row r="31" spans="2:14" s="1" customFormat="1" ht="29.4" customHeight="1" thickTop="1" thickBot="1" x14ac:dyDescent="0.3">
      <c r="B31" s="102" t="s">
        <v>12</v>
      </c>
      <c r="C31" s="102"/>
      <c r="D31" s="102"/>
      <c r="E31" s="102"/>
      <c r="F31" s="102"/>
      <c r="G31" s="103">
        <f>SUM(H6:H30)</f>
        <v>133450000</v>
      </c>
      <c r="H31" s="104"/>
      <c r="I31" s="104"/>
      <c r="J31" s="105"/>
      <c r="K31" s="106"/>
      <c r="L31" s="107"/>
      <c r="M31" s="107"/>
      <c r="N31" s="108"/>
    </row>
    <row r="32" spans="2:14" s="1" customFormat="1" ht="29.4" customHeight="1" thickBot="1" x14ac:dyDescent="0.3">
      <c r="B32" s="100" t="s">
        <v>13</v>
      </c>
      <c r="C32" s="100"/>
      <c r="D32" s="100"/>
      <c r="E32" s="100"/>
      <c r="F32" s="100"/>
      <c r="G32" s="109"/>
      <c r="H32" s="110"/>
      <c r="I32" s="110"/>
      <c r="J32" s="111"/>
      <c r="K32" s="97"/>
      <c r="L32" s="98"/>
      <c r="M32" s="98"/>
      <c r="N32" s="99"/>
    </row>
    <row r="33" spans="2:14" ht="82.2" customHeight="1" thickBot="1" x14ac:dyDescent="0.3">
      <c r="B33" s="101" t="s">
        <v>14</v>
      </c>
      <c r="C33" s="101"/>
      <c r="D33" s="101"/>
      <c r="E33" s="101"/>
      <c r="F33" s="101" t="s">
        <v>15</v>
      </c>
      <c r="G33" s="101"/>
      <c r="H33" s="101" t="s">
        <v>16</v>
      </c>
      <c r="I33" s="101"/>
      <c r="J33" s="101" t="s">
        <v>17</v>
      </c>
      <c r="K33" s="101"/>
      <c r="L33" s="101"/>
      <c r="M33" s="101"/>
      <c r="N33" s="101"/>
    </row>
  </sheetData>
  <mergeCells count="122">
    <mergeCell ref="B33:E33"/>
    <mergeCell ref="F33:G33"/>
    <mergeCell ref="H33:I33"/>
    <mergeCell ref="J33:N33"/>
    <mergeCell ref="B31:F31"/>
    <mergeCell ref="G31:J31"/>
    <mergeCell ref="K31:N31"/>
    <mergeCell ref="B32:F32"/>
    <mergeCell ref="G32:J32"/>
    <mergeCell ref="K32:N32"/>
    <mergeCell ref="C29:E29"/>
    <mergeCell ref="F29:G29"/>
    <mergeCell ref="I29:J29"/>
    <mergeCell ref="K29:N29"/>
    <mergeCell ref="C30:E30"/>
    <mergeCell ref="F30:G30"/>
    <mergeCell ref="I30:J30"/>
    <mergeCell ref="K30:N30"/>
    <mergeCell ref="C27:E27"/>
    <mergeCell ref="F27:G27"/>
    <mergeCell ref="I27:J27"/>
    <mergeCell ref="K27:N27"/>
    <mergeCell ref="C28:E28"/>
    <mergeCell ref="F28:G28"/>
    <mergeCell ref="I28:J28"/>
    <mergeCell ref="K28:N28"/>
    <mergeCell ref="C25:E25"/>
    <mergeCell ref="F25:G25"/>
    <mergeCell ref="I25:J25"/>
    <mergeCell ref="K25:N25"/>
    <mergeCell ref="C26:E26"/>
    <mergeCell ref="F26:G26"/>
    <mergeCell ref="I26:J26"/>
    <mergeCell ref="K26:N26"/>
    <mergeCell ref="C23:E23"/>
    <mergeCell ref="F23:G23"/>
    <mergeCell ref="I23:J23"/>
    <mergeCell ref="K23:N23"/>
    <mergeCell ref="C24:E24"/>
    <mergeCell ref="F24:G24"/>
    <mergeCell ref="I24:J24"/>
    <mergeCell ref="K24:N24"/>
    <mergeCell ref="C21:E21"/>
    <mergeCell ref="F21:G21"/>
    <mergeCell ref="I21:J21"/>
    <mergeCell ref="K21:N21"/>
    <mergeCell ref="C22:E22"/>
    <mergeCell ref="F22:G22"/>
    <mergeCell ref="I22:J22"/>
    <mergeCell ref="K22:N22"/>
    <mergeCell ref="C19:E19"/>
    <mergeCell ref="F19:G19"/>
    <mergeCell ref="I19:J19"/>
    <mergeCell ref="K19:N19"/>
    <mergeCell ref="C20:E20"/>
    <mergeCell ref="F20:G20"/>
    <mergeCell ref="I20:J20"/>
    <mergeCell ref="K20:N20"/>
    <mergeCell ref="C17:E17"/>
    <mergeCell ref="F17:G17"/>
    <mergeCell ref="I17:J17"/>
    <mergeCell ref="K17:N17"/>
    <mergeCell ref="C18:E18"/>
    <mergeCell ref="F18:G18"/>
    <mergeCell ref="I18:J18"/>
    <mergeCell ref="K18:N18"/>
    <mergeCell ref="C15:E15"/>
    <mergeCell ref="F15:G15"/>
    <mergeCell ref="I15:J15"/>
    <mergeCell ref="K15:N15"/>
    <mergeCell ref="C16:E16"/>
    <mergeCell ref="F16:G16"/>
    <mergeCell ref="I16:J16"/>
    <mergeCell ref="K16:N16"/>
    <mergeCell ref="C13:E13"/>
    <mergeCell ref="F13:G13"/>
    <mergeCell ref="I13:J13"/>
    <mergeCell ref="K13:N13"/>
    <mergeCell ref="C14:E14"/>
    <mergeCell ref="F14:G14"/>
    <mergeCell ref="I14:J14"/>
    <mergeCell ref="K14:N14"/>
    <mergeCell ref="C11:E11"/>
    <mergeCell ref="F11:G11"/>
    <mergeCell ref="I11:J11"/>
    <mergeCell ref="K11:N11"/>
    <mergeCell ref="C12:E12"/>
    <mergeCell ref="F12:G12"/>
    <mergeCell ref="I12:J12"/>
    <mergeCell ref="K12:N12"/>
    <mergeCell ref="C9:E9"/>
    <mergeCell ref="F9:G9"/>
    <mergeCell ref="I9:J9"/>
    <mergeCell ref="K9:N9"/>
    <mergeCell ref="C10:E10"/>
    <mergeCell ref="F10:G10"/>
    <mergeCell ref="I10:J10"/>
    <mergeCell ref="K10:N10"/>
    <mergeCell ref="C7:E7"/>
    <mergeCell ref="F7:G7"/>
    <mergeCell ref="I7:J7"/>
    <mergeCell ref="K7:N7"/>
    <mergeCell ref="C8:E8"/>
    <mergeCell ref="F8:G8"/>
    <mergeCell ref="I8:J8"/>
    <mergeCell ref="K8:N8"/>
    <mergeCell ref="C5:E5"/>
    <mergeCell ref="F5:G5"/>
    <mergeCell ref="I5:J5"/>
    <mergeCell ref="K5:N5"/>
    <mergeCell ref="C6:E6"/>
    <mergeCell ref="F6:G6"/>
    <mergeCell ref="I6:J6"/>
    <mergeCell ref="K6:N6"/>
    <mergeCell ref="B2:E3"/>
    <mergeCell ref="F2:H3"/>
    <mergeCell ref="J2:K2"/>
    <mergeCell ref="M2:N2"/>
    <mergeCell ref="J3:N3"/>
    <mergeCell ref="B4:D4"/>
    <mergeCell ref="E4:F4"/>
    <mergeCell ref="J4:N4"/>
  </mergeCells>
  <printOptions horizontalCentered="1" verticalCentered="1"/>
  <pageMargins left="0" right="0.23622047244094491" top="0" bottom="0.17" header="0" footer="0.4"/>
  <pageSetup paperSize="9" scale="71" orientation="portrait" r:id="rId1"/>
  <colBreaks count="2" manualBreakCount="2">
    <brk id="1" max="1048575" man="1"/>
    <brk id="10" min="1" max="32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5" tint="0.59999389629810485"/>
    <pageSetUpPr fitToPage="1"/>
  </sheetPr>
  <dimension ref="B1:N33"/>
  <sheetViews>
    <sheetView rightToLeft="1" showWhiteSpace="0" topLeftCell="C1" zoomScale="70" zoomScaleNormal="70" zoomScalePageLayoutView="40" workbookViewId="0">
      <selection activeCell="T1" sqref="T1:V1048576"/>
    </sheetView>
  </sheetViews>
  <sheetFormatPr defaultRowHeight="13.8" x14ac:dyDescent="0.25"/>
  <cols>
    <col min="2" max="2" width="5.5" customWidth="1"/>
    <col min="3" max="3" width="4.19921875" customWidth="1"/>
    <col min="4" max="4" width="7.19921875" customWidth="1"/>
    <col min="5" max="5" width="4" customWidth="1"/>
    <col min="6" max="6" width="15.59765625" customWidth="1"/>
    <col min="7" max="7" width="17.09765625" customWidth="1"/>
    <col min="8" max="8" width="19.69921875" customWidth="1"/>
    <col min="9" max="9" width="12.5" bestFit="1" customWidth="1"/>
    <col min="10" max="10" width="4.69921875" customWidth="1"/>
    <col min="11" max="11" width="13.5" customWidth="1"/>
    <col min="12" max="13" width="9.5" customWidth="1"/>
    <col min="14" max="14" width="5.09765625" customWidth="1"/>
  </cols>
  <sheetData>
    <row r="1" spans="2:14" ht="14.4" thickBot="1" x14ac:dyDescent="0.3"/>
    <row r="2" spans="2:14" ht="24.6" customHeight="1" thickBot="1" x14ac:dyDescent="0.8">
      <c r="B2" s="81"/>
      <c r="C2" s="81"/>
      <c r="D2" s="81"/>
      <c r="E2" s="81"/>
      <c r="F2" s="82" t="s">
        <v>18</v>
      </c>
      <c r="G2" s="82"/>
      <c r="H2" s="82"/>
      <c r="I2" s="62" t="s">
        <v>0</v>
      </c>
      <c r="J2" s="83"/>
      <c r="K2" s="84"/>
      <c r="L2" s="62" t="s">
        <v>1</v>
      </c>
      <c r="M2" s="83"/>
      <c r="N2" s="84"/>
    </row>
    <row r="3" spans="2:14" ht="34.950000000000003" customHeight="1" thickBot="1" x14ac:dyDescent="0.3">
      <c r="B3" s="81"/>
      <c r="C3" s="81"/>
      <c r="D3" s="81"/>
      <c r="E3" s="81"/>
      <c r="F3" s="82"/>
      <c r="G3" s="82"/>
      <c r="H3" s="82"/>
      <c r="I3" s="9" t="s">
        <v>4</v>
      </c>
      <c r="J3" s="85"/>
      <c r="K3" s="85"/>
      <c r="L3" s="85"/>
      <c r="M3" s="85"/>
      <c r="N3" s="86"/>
    </row>
    <row r="4" spans="2:14" ht="24" thickBot="1" x14ac:dyDescent="0.8">
      <c r="B4" s="87" t="s">
        <v>2</v>
      </c>
      <c r="C4" s="87"/>
      <c r="D4" s="88"/>
      <c r="E4" s="84"/>
      <c r="F4" s="89"/>
      <c r="G4" s="62" t="s">
        <v>3</v>
      </c>
      <c r="H4" s="2" t="s">
        <v>239</v>
      </c>
      <c r="I4" s="62" t="s">
        <v>5</v>
      </c>
      <c r="J4" s="83"/>
      <c r="K4" s="83"/>
      <c r="L4" s="83"/>
      <c r="M4" s="83"/>
      <c r="N4" s="84"/>
    </row>
    <row r="5" spans="2:14" s="1" customFormat="1" ht="29.4" customHeight="1" thickBot="1" x14ac:dyDescent="0.3">
      <c r="B5" s="61" t="s">
        <v>6</v>
      </c>
      <c r="C5" s="100" t="s">
        <v>7</v>
      </c>
      <c r="D5" s="100"/>
      <c r="E5" s="100"/>
      <c r="F5" s="100" t="s">
        <v>8</v>
      </c>
      <c r="G5" s="100"/>
      <c r="H5" s="61" t="s">
        <v>9</v>
      </c>
      <c r="I5" s="97" t="s">
        <v>10</v>
      </c>
      <c r="J5" s="99"/>
      <c r="K5" s="97" t="s">
        <v>11</v>
      </c>
      <c r="L5" s="98"/>
      <c r="M5" s="98"/>
      <c r="N5" s="99"/>
    </row>
    <row r="6" spans="2:14" ht="27.6" thickBot="1" x14ac:dyDescent="1.05">
      <c r="B6" s="6">
        <v>2</v>
      </c>
      <c r="C6" s="90">
        <v>45067</v>
      </c>
      <c r="D6" s="91"/>
      <c r="E6" s="92"/>
      <c r="F6" s="93" t="s">
        <v>258</v>
      </c>
      <c r="G6" s="93"/>
      <c r="H6" s="4">
        <v>5700000</v>
      </c>
      <c r="I6" s="94">
        <v>442</v>
      </c>
      <c r="J6" s="95"/>
      <c r="K6" s="94"/>
      <c r="L6" s="96"/>
      <c r="M6" s="96"/>
      <c r="N6" s="95"/>
    </row>
    <row r="7" spans="2:14" ht="27.6" thickBot="1" x14ac:dyDescent="1.05">
      <c r="B7" s="6">
        <v>3</v>
      </c>
      <c r="C7" s="90">
        <v>45055</v>
      </c>
      <c r="D7" s="91"/>
      <c r="E7" s="92"/>
      <c r="F7" s="93" t="s">
        <v>41</v>
      </c>
      <c r="G7" s="93"/>
      <c r="H7" s="4">
        <v>1430000</v>
      </c>
      <c r="I7" s="94">
        <v>443</v>
      </c>
      <c r="J7" s="95"/>
      <c r="K7" s="94"/>
      <c r="L7" s="96"/>
      <c r="M7" s="96"/>
      <c r="N7" s="95"/>
    </row>
    <row r="8" spans="2:14" s="1" customFormat="1" ht="27.6" thickBot="1" x14ac:dyDescent="0.35">
      <c r="B8" s="14">
        <v>4</v>
      </c>
      <c r="C8" s="90">
        <v>45066</v>
      </c>
      <c r="D8" s="91"/>
      <c r="E8" s="92"/>
      <c r="F8" s="93" t="s">
        <v>41</v>
      </c>
      <c r="G8" s="93"/>
      <c r="H8" s="4">
        <v>900000</v>
      </c>
      <c r="I8" s="94">
        <v>444</v>
      </c>
      <c r="J8" s="95"/>
      <c r="K8" s="97"/>
      <c r="L8" s="98"/>
      <c r="M8" s="98"/>
      <c r="N8" s="99"/>
    </row>
    <row r="9" spans="2:14" ht="27.6" thickBot="1" x14ac:dyDescent="1.05">
      <c r="B9" s="6">
        <v>5</v>
      </c>
      <c r="C9" s="90">
        <v>45072</v>
      </c>
      <c r="D9" s="91"/>
      <c r="E9" s="92"/>
      <c r="F9" s="93" t="s">
        <v>41</v>
      </c>
      <c r="G9" s="93"/>
      <c r="H9" s="4">
        <v>50000</v>
      </c>
      <c r="I9" s="94">
        <v>445</v>
      </c>
      <c r="J9" s="95"/>
      <c r="K9" s="94"/>
      <c r="L9" s="96"/>
      <c r="M9" s="96"/>
      <c r="N9" s="95"/>
    </row>
    <row r="10" spans="2:14" ht="27.6" thickBot="1" x14ac:dyDescent="1.05">
      <c r="B10" s="6">
        <v>6</v>
      </c>
      <c r="C10" s="90">
        <v>45069</v>
      </c>
      <c r="D10" s="91"/>
      <c r="E10" s="92"/>
      <c r="F10" s="93" t="s">
        <v>259</v>
      </c>
      <c r="G10" s="93"/>
      <c r="H10" s="4">
        <v>2000000</v>
      </c>
      <c r="I10" s="94">
        <v>446</v>
      </c>
      <c r="J10" s="95"/>
      <c r="K10" s="94"/>
      <c r="L10" s="96"/>
      <c r="M10" s="96"/>
      <c r="N10" s="95"/>
    </row>
    <row r="11" spans="2:14" ht="27.6" thickBot="1" x14ac:dyDescent="1.05">
      <c r="B11" s="6">
        <v>7</v>
      </c>
      <c r="C11" s="90">
        <v>45069</v>
      </c>
      <c r="D11" s="91"/>
      <c r="E11" s="92"/>
      <c r="F11" s="93" t="s">
        <v>260</v>
      </c>
      <c r="G11" s="93"/>
      <c r="H11" s="4">
        <v>6330000</v>
      </c>
      <c r="I11" s="94">
        <v>447</v>
      </c>
      <c r="J11" s="95"/>
      <c r="K11" s="94"/>
      <c r="L11" s="96"/>
      <c r="M11" s="96"/>
      <c r="N11" s="95"/>
    </row>
    <row r="12" spans="2:14" ht="27.6" thickBot="1" x14ac:dyDescent="1.05">
      <c r="B12" s="6">
        <v>8</v>
      </c>
      <c r="C12" s="90">
        <v>45069</v>
      </c>
      <c r="D12" s="91"/>
      <c r="E12" s="92"/>
      <c r="F12" s="93" t="s">
        <v>261</v>
      </c>
      <c r="G12" s="93"/>
      <c r="H12" s="4">
        <v>2400000</v>
      </c>
      <c r="I12" s="94">
        <v>448</v>
      </c>
      <c r="J12" s="95"/>
      <c r="K12" s="94"/>
      <c r="L12" s="96"/>
      <c r="M12" s="96"/>
      <c r="N12" s="95"/>
    </row>
    <row r="13" spans="2:14" ht="27.6" thickBot="1" x14ac:dyDescent="1.05">
      <c r="B13" s="6">
        <v>9</v>
      </c>
      <c r="C13" s="90">
        <v>45070</v>
      </c>
      <c r="D13" s="91"/>
      <c r="E13" s="92"/>
      <c r="F13" s="93" t="s">
        <v>268</v>
      </c>
      <c r="G13" s="93"/>
      <c r="H13" s="4">
        <v>1200000</v>
      </c>
      <c r="I13" s="94">
        <v>449</v>
      </c>
      <c r="J13" s="95"/>
      <c r="K13" s="94"/>
      <c r="L13" s="96"/>
      <c r="M13" s="96"/>
      <c r="N13" s="95"/>
    </row>
    <row r="14" spans="2:14" ht="27.6" thickBot="1" x14ac:dyDescent="1.05">
      <c r="B14" s="6">
        <v>10</v>
      </c>
      <c r="C14" s="90">
        <v>45070</v>
      </c>
      <c r="D14" s="91"/>
      <c r="E14" s="92"/>
      <c r="F14" s="93" t="s">
        <v>262</v>
      </c>
      <c r="G14" s="93"/>
      <c r="H14" s="4">
        <v>5000000</v>
      </c>
      <c r="I14" s="94">
        <v>450</v>
      </c>
      <c r="J14" s="95"/>
      <c r="K14" s="94"/>
      <c r="L14" s="96"/>
      <c r="M14" s="96"/>
      <c r="N14" s="95"/>
    </row>
    <row r="15" spans="2:14" ht="27.6" thickBot="1" x14ac:dyDescent="1.05">
      <c r="B15" s="6">
        <v>11</v>
      </c>
      <c r="C15" s="90">
        <v>45070</v>
      </c>
      <c r="D15" s="91"/>
      <c r="E15" s="92"/>
      <c r="F15" s="93" t="s">
        <v>33</v>
      </c>
      <c r="G15" s="93"/>
      <c r="H15" s="4">
        <v>1300000</v>
      </c>
      <c r="I15" s="94">
        <v>451</v>
      </c>
      <c r="J15" s="95"/>
      <c r="K15" s="94"/>
      <c r="L15" s="96"/>
      <c r="M15" s="96"/>
      <c r="N15" s="95"/>
    </row>
    <row r="16" spans="2:14" ht="27.6" thickBot="1" x14ac:dyDescent="1.05">
      <c r="B16" s="6">
        <v>12</v>
      </c>
      <c r="C16" s="90">
        <v>45071</v>
      </c>
      <c r="D16" s="91"/>
      <c r="E16" s="92"/>
      <c r="F16" s="93" t="s">
        <v>263</v>
      </c>
      <c r="G16" s="93"/>
      <c r="H16" s="4">
        <v>1700000</v>
      </c>
      <c r="I16" s="94">
        <v>452</v>
      </c>
      <c r="J16" s="95"/>
      <c r="K16" s="94"/>
      <c r="L16" s="96"/>
      <c r="M16" s="96"/>
      <c r="N16" s="95"/>
    </row>
    <row r="17" spans="2:14" ht="27.6" thickBot="1" x14ac:dyDescent="1.05">
      <c r="B17" s="6">
        <v>13</v>
      </c>
      <c r="C17" s="90">
        <v>45071</v>
      </c>
      <c r="D17" s="91"/>
      <c r="E17" s="92"/>
      <c r="F17" s="93" t="s">
        <v>33</v>
      </c>
      <c r="G17" s="93"/>
      <c r="H17" s="4">
        <v>1000000</v>
      </c>
      <c r="I17" s="94">
        <v>453</v>
      </c>
      <c r="J17" s="95"/>
      <c r="K17" s="94"/>
      <c r="L17" s="96"/>
      <c r="M17" s="96"/>
      <c r="N17" s="95"/>
    </row>
    <row r="18" spans="2:14" ht="27.6" thickBot="1" x14ac:dyDescent="1.05">
      <c r="B18" s="6">
        <v>14</v>
      </c>
      <c r="C18" s="90">
        <v>45071</v>
      </c>
      <c r="D18" s="91"/>
      <c r="E18" s="92"/>
      <c r="F18" s="93" t="s">
        <v>264</v>
      </c>
      <c r="G18" s="93"/>
      <c r="H18" s="4">
        <v>27000000</v>
      </c>
      <c r="I18" s="94">
        <v>454</v>
      </c>
      <c r="J18" s="95"/>
      <c r="K18" s="94"/>
      <c r="L18" s="96"/>
      <c r="M18" s="96"/>
      <c r="N18" s="95"/>
    </row>
    <row r="19" spans="2:14" ht="27.6" thickBot="1" x14ac:dyDescent="1.05">
      <c r="B19" s="6">
        <v>15</v>
      </c>
      <c r="C19" s="90">
        <v>45071</v>
      </c>
      <c r="D19" s="91"/>
      <c r="E19" s="92"/>
      <c r="F19" s="93" t="s">
        <v>265</v>
      </c>
      <c r="G19" s="93"/>
      <c r="H19" s="4">
        <v>16900000</v>
      </c>
      <c r="I19" s="94">
        <v>455</v>
      </c>
      <c r="J19" s="95"/>
      <c r="K19" s="94"/>
      <c r="L19" s="96"/>
      <c r="M19" s="96"/>
      <c r="N19" s="95"/>
    </row>
    <row r="20" spans="2:14" ht="27.6" thickBot="1" x14ac:dyDescent="1.05">
      <c r="B20" s="6">
        <v>16</v>
      </c>
      <c r="C20" s="90">
        <v>45073</v>
      </c>
      <c r="D20" s="91"/>
      <c r="E20" s="92"/>
      <c r="F20" s="93" t="s">
        <v>266</v>
      </c>
      <c r="G20" s="93"/>
      <c r="H20" s="4">
        <v>6240000</v>
      </c>
      <c r="I20" s="94">
        <v>456</v>
      </c>
      <c r="J20" s="95"/>
      <c r="K20" s="94"/>
      <c r="L20" s="96"/>
      <c r="M20" s="96"/>
      <c r="N20" s="95"/>
    </row>
    <row r="21" spans="2:14" ht="27.6" thickBot="1" x14ac:dyDescent="1.05">
      <c r="B21" s="6">
        <v>17</v>
      </c>
      <c r="C21" s="90">
        <v>45073</v>
      </c>
      <c r="D21" s="91"/>
      <c r="E21" s="92"/>
      <c r="F21" s="93" t="s">
        <v>267</v>
      </c>
      <c r="G21" s="93"/>
      <c r="H21" s="4">
        <v>1820000</v>
      </c>
      <c r="I21" s="94">
        <v>457</v>
      </c>
      <c r="J21" s="95"/>
      <c r="K21" s="94"/>
      <c r="L21" s="96"/>
      <c r="M21" s="96"/>
      <c r="N21" s="95"/>
    </row>
    <row r="22" spans="2:14" ht="27.6" thickBot="1" x14ac:dyDescent="1.05">
      <c r="B22" s="6">
        <v>18</v>
      </c>
      <c r="C22" s="90">
        <v>45069</v>
      </c>
      <c r="D22" s="91"/>
      <c r="E22" s="92"/>
      <c r="F22" s="93" t="s">
        <v>270</v>
      </c>
      <c r="G22" s="93"/>
      <c r="H22" s="4">
        <v>480000</v>
      </c>
      <c r="I22" s="94">
        <v>458</v>
      </c>
      <c r="J22" s="95"/>
      <c r="K22" s="94"/>
      <c r="L22" s="96"/>
      <c r="M22" s="96"/>
      <c r="N22" s="95"/>
    </row>
    <row r="23" spans="2:14" ht="27.6" thickBot="1" x14ac:dyDescent="1.05">
      <c r="B23" s="6">
        <v>19</v>
      </c>
      <c r="C23" s="90">
        <v>45074</v>
      </c>
      <c r="D23" s="91"/>
      <c r="E23" s="92"/>
      <c r="F23" s="93" t="s">
        <v>271</v>
      </c>
      <c r="G23" s="93"/>
      <c r="H23" s="4">
        <v>720000</v>
      </c>
      <c r="I23" s="94">
        <v>459</v>
      </c>
      <c r="J23" s="95"/>
      <c r="K23" s="94"/>
      <c r="L23" s="96"/>
      <c r="M23" s="96"/>
      <c r="N23" s="95"/>
    </row>
    <row r="24" spans="2:14" ht="27.6" thickBot="1" x14ac:dyDescent="1.05">
      <c r="B24" s="6">
        <v>20</v>
      </c>
      <c r="C24" s="90">
        <v>45074</v>
      </c>
      <c r="D24" s="91"/>
      <c r="E24" s="92"/>
      <c r="F24" s="93" t="s">
        <v>272</v>
      </c>
      <c r="G24" s="93"/>
      <c r="H24" s="4">
        <v>650000</v>
      </c>
      <c r="I24" s="94">
        <v>460</v>
      </c>
      <c r="J24" s="95"/>
      <c r="K24" s="94"/>
      <c r="L24" s="96"/>
      <c r="M24" s="96"/>
      <c r="N24" s="95"/>
    </row>
    <row r="25" spans="2:14" ht="27.6" thickBot="1" x14ac:dyDescent="1.05">
      <c r="B25" s="6">
        <v>21</v>
      </c>
      <c r="C25" s="90">
        <v>45073</v>
      </c>
      <c r="D25" s="91"/>
      <c r="E25" s="92"/>
      <c r="F25" s="93" t="s">
        <v>126</v>
      </c>
      <c r="G25" s="93"/>
      <c r="H25" s="4">
        <v>1500000</v>
      </c>
      <c r="I25" s="94">
        <v>461</v>
      </c>
      <c r="J25" s="95"/>
      <c r="K25" s="94"/>
      <c r="L25" s="96"/>
      <c r="M25" s="96"/>
      <c r="N25" s="95"/>
    </row>
    <row r="26" spans="2:14" ht="27.6" thickBot="1" x14ac:dyDescent="1.05">
      <c r="B26" s="6">
        <v>22</v>
      </c>
      <c r="C26" s="90">
        <v>45074</v>
      </c>
      <c r="D26" s="91"/>
      <c r="E26" s="92"/>
      <c r="F26" s="93" t="s">
        <v>110</v>
      </c>
      <c r="G26" s="93"/>
      <c r="H26" s="4">
        <v>2500000</v>
      </c>
      <c r="I26" s="94">
        <v>462</v>
      </c>
      <c r="J26" s="95"/>
      <c r="K26" s="94"/>
      <c r="L26" s="96"/>
      <c r="M26" s="96"/>
      <c r="N26" s="95"/>
    </row>
    <row r="27" spans="2:14" ht="27.6" thickBot="1" x14ac:dyDescent="1.05">
      <c r="B27" s="6">
        <v>23</v>
      </c>
      <c r="C27" s="90">
        <v>45075</v>
      </c>
      <c r="D27" s="91"/>
      <c r="E27" s="92"/>
      <c r="F27" s="93" t="s">
        <v>273</v>
      </c>
      <c r="G27" s="93"/>
      <c r="H27" s="4">
        <v>60000000</v>
      </c>
      <c r="I27" s="94">
        <v>463</v>
      </c>
      <c r="J27" s="95"/>
      <c r="K27" s="94"/>
      <c r="L27" s="96"/>
      <c r="M27" s="96"/>
      <c r="N27" s="95"/>
    </row>
    <row r="28" spans="2:14" ht="27.6" thickBot="1" x14ac:dyDescent="1.05">
      <c r="B28" s="6">
        <v>24</v>
      </c>
      <c r="C28" s="90">
        <v>45075</v>
      </c>
      <c r="D28" s="91"/>
      <c r="E28" s="92"/>
      <c r="F28" s="93" t="s">
        <v>274</v>
      </c>
      <c r="G28" s="93"/>
      <c r="H28" s="4">
        <v>40000000</v>
      </c>
      <c r="I28" s="94">
        <v>464</v>
      </c>
      <c r="J28" s="95"/>
      <c r="K28" s="94"/>
      <c r="L28" s="96"/>
      <c r="M28" s="96"/>
      <c r="N28" s="95"/>
    </row>
    <row r="29" spans="2:14" ht="27.6" thickBot="1" x14ac:dyDescent="1.05">
      <c r="B29" s="6"/>
      <c r="C29" s="90">
        <v>45075</v>
      </c>
      <c r="D29" s="91"/>
      <c r="E29" s="92"/>
      <c r="F29" s="94" t="s">
        <v>275</v>
      </c>
      <c r="G29" s="95"/>
      <c r="H29" s="4">
        <v>7000000</v>
      </c>
      <c r="I29" s="94">
        <v>465</v>
      </c>
      <c r="J29" s="95"/>
      <c r="K29" s="94"/>
      <c r="L29" s="96"/>
      <c r="M29" s="96"/>
      <c r="N29" s="95"/>
    </row>
    <row r="30" spans="2:14" ht="27.6" thickBot="1" x14ac:dyDescent="1.05">
      <c r="B30" s="6">
        <v>25</v>
      </c>
      <c r="C30" s="90">
        <v>45076</v>
      </c>
      <c r="D30" s="91"/>
      <c r="E30" s="92"/>
      <c r="F30" s="94" t="s">
        <v>276</v>
      </c>
      <c r="G30" s="95"/>
      <c r="H30" s="4">
        <v>14000000</v>
      </c>
      <c r="I30" s="94">
        <v>466</v>
      </c>
      <c r="J30" s="95"/>
      <c r="K30" s="112"/>
      <c r="L30" s="113"/>
      <c r="M30" s="113"/>
      <c r="N30" s="114"/>
    </row>
    <row r="31" spans="2:14" s="1" customFormat="1" ht="29.4" customHeight="1" thickTop="1" thickBot="1" x14ac:dyDescent="0.3">
      <c r="B31" s="102" t="s">
        <v>12</v>
      </c>
      <c r="C31" s="102"/>
      <c r="D31" s="102"/>
      <c r="E31" s="102"/>
      <c r="F31" s="102"/>
      <c r="G31" s="103">
        <f>SUM(H6:H30)</f>
        <v>207820000</v>
      </c>
      <c r="H31" s="104"/>
      <c r="I31" s="104"/>
      <c r="J31" s="105"/>
      <c r="K31" s="106"/>
      <c r="L31" s="107"/>
      <c r="M31" s="107"/>
      <c r="N31" s="108"/>
    </row>
    <row r="32" spans="2:14" s="1" customFormat="1" ht="29.4" customHeight="1" thickBot="1" x14ac:dyDescent="0.3">
      <c r="B32" s="100" t="s">
        <v>13</v>
      </c>
      <c r="C32" s="100"/>
      <c r="D32" s="100"/>
      <c r="E32" s="100"/>
      <c r="F32" s="100"/>
      <c r="G32" s="109"/>
      <c r="H32" s="110"/>
      <c r="I32" s="110"/>
      <c r="J32" s="111"/>
      <c r="K32" s="97"/>
      <c r="L32" s="98"/>
      <c r="M32" s="98"/>
      <c r="N32" s="99"/>
    </row>
    <row r="33" spans="2:14" ht="82.2" customHeight="1" thickBot="1" x14ac:dyDescent="0.3">
      <c r="B33" s="101" t="s">
        <v>14</v>
      </c>
      <c r="C33" s="101"/>
      <c r="D33" s="101"/>
      <c r="E33" s="101"/>
      <c r="F33" s="101" t="s">
        <v>15</v>
      </c>
      <c r="G33" s="101"/>
      <c r="H33" s="101" t="s">
        <v>16</v>
      </c>
      <c r="I33" s="101"/>
      <c r="J33" s="101" t="s">
        <v>17</v>
      </c>
      <c r="K33" s="101"/>
      <c r="L33" s="101"/>
      <c r="M33" s="101"/>
      <c r="N33" s="101"/>
    </row>
  </sheetData>
  <mergeCells count="122">
    <mergeCell ref="C5:E5"/>
    <mergeCell ref="F5:G5"/>
    <mergeCell ref="I5:J5"/>
    <mergeCell ref="K5:N5"/>
    <mergeCell ref="C6:E6"/>
    <mergeCell ref="F6:G6"/>
    <mergeCell ref="I6:J6"/>
    <mergeCell ref="K6:N6"/>
    <mergeCell ref="B2:E3"/>
    <mergeCell ref="F2:H3"/>
    <mergeCell ref="J2:K2"/>
    <mergeCell ref="M2:N2"/>
    <mergeCell ref="J3:N3"/>
    <mergeCell ref="B4:D4"/>
    <mergeCell ref="E4:F4"/>
    <mergeCell ref="J4:N4"/>
    <mergeCell ref="C9:E9"/>
    <mergeCell ref="F9:G9"/>
    <mergeCell ref="I9:J9"/>
    <mergeCell ref="K9:N9"/>
    <mergeCell ref="C10:E10"/>
    <mergeCell ref="F10:G10"/>
    <mergeCell ref="I10:J10"/>
    <mergeCell ref="K10:N10"/>
    <mergeCell ref="C7:E7"/>
    <mergeCell ref="F7:G7"/>
    <mergeCell ref="I7:J7"/>
    <mergeCell ref="K7:N7"/>
    <mergeCell ref="C8:E8"/>
    <mergeCell ref="F8:G8"/>
    <mergeCell ref="I8:J8"/>
    <mergeCell ref="K8:N8"/>
    <mergeCell ref="C13:E13"/>
    <mergeCell ref="F13:G13"/>
    <mergeCell ref="I13:J13"/>
    <mergeCell ref="K13:N13"/>
    <mergeCell ref="C14:E14"/>
    <mergeCell ref="F14:G14"/>
    <mergeCell ref="I14:J14"/>
    <mergeCell ref="K14:N14"/>
    <mergeCell ref="C11:E11"/>
    <mergeCell ref="F11:G11"/>
    <mergeCell ref="I11:J11"/>
    <mergeCell ref="K11:N11"/>
    <mergeCell ref="C12:E12"/>
    <mergeCell ref="F12:G12"/>
    <mergeCell ref="I12:J12"/>
    <mergeCell ref="K12:N12"/>
    <mergeCell ref="C17:E17"/>
    <mergeCell ref="F17:G17"/>
    <mergeCell ref="I17:J17"/>
    <mergeCell ref="K17:N17"/>
    <mergeCell ref="C18:E18"/>
    <mergeCell ref="F18:G18"/>
    <mergeCell ref="I18:J18"/>
    <mergeCell ref="K18:N18"/>
    <mergeCell ref="C15:E15"/>
    <mergeCell ref="F15:G15"/>
    <mergeCell ref="I15:J15"/>
    <mergeCell ref="K15:N15"/>
    <mergeCell ref="C16:E16"/>
    <mergeCell ref="F16:G16"/>
    <mergeCell ref="I16:J16"/>
    <mergeCell ref="K16:N16"/>
    <mergeCell ref="C21:E21"/>
    <mergeCell ref="F21:G21"/>
    <mergeCell ref="I21:J21"/>
    <mergeCell ref="K21:N21"/>
    <mergeCell ref="C22:E22"/>
    <mergeCell ref="F22:G22"/>
    <mergeCell ref="I22:J22"/>
    <mergeCell ref="K22:N22"/>
    <mergeCell ref="C19:E19"/>
    <mergeCell ref="F19:G19"/>
    <mergeCell ref="I19:J19"/>
    <mergeCell ref="K19:N19"/>
    <mergeCell ref="C20:E20"/>
    <mergeCell ref="F20:G20"/>
    <mergeCell ref="I20:J20"/>
    <mergeCell ref="K20:N20"/>
    <mergeCell ref="C25:E25"/>
    <mergeCell ref="F25:G25"/>
    <mergeCell ref="I25:J25"/>
    <mergeCell ref="K25:N25"/>
    <mergeCell ref="C26:E26"/>
    <mergeCell ref="F26:G26"/>
    <mergeCell ref="I26:J26"/>
    <mergeCell ref="K26:N26"/>
    <mergeCell ref="C23:E23"/>
    <mergeCell ref="F23:G23"/>
    <mergeCell ref="I23:J23"/>
    <mergeCell ref="K23:N23"/>
    <mergeCell ref="C24:E24"/>
    <mergeCell ref="F24:G24"/>
    <mergeCell ref="I24:J24"/>
    <mergeCell ref="K24:N24"/>
    <mergeCell ref="C29:E29"/>
    <mergeCell ref="F29:G29"/>
    <mergeCell ref="I29:J29"/>
    <mergeCell ref="K29:N29"/>
    <mergeCell ref="C30:E30"/>
    <mergeCell ref="F30:G30"/>
    <mergeCell ref="I30:J30"/>
    <mergeCell ref="K30:N30"/>
    <mergeCell ref="C27:E27"/>
    <mergeCell ref="F27:G27"/>
    <mergeCell ref="I27:J27"/>
    <mergeCell ref="K27:N27"/>
    <mergeCell ref="C28:E28"/>
    <mergeCell ref="F28:G28"/>
    <mergeCell ref="I28:J28"/>
    <mergeCell ref="K28:N28"/>
    <mergeCell ref="B33:E33"/>
    <mergeCell ref="F33:G33"/>
    <mergeCell ref="H33:I33"/>
    <mergeCell ref="J33:N33"/>
    <mergeCell ref="B31:F31"/>
    <mergeCell ref="G31:J31"/>
    <mergeCell ref="K31:N31"/>
    <mergeCell ref="B32:F32"/>
    <mergeCell ref="G32:J32"/>
    <mergeCell ref="K32:N32"/>
  </mergeCells>
  <printOptions horizontalCentered="1" verticalCentered="1"/>
  <pageMargins left="0" right="0.23622047244094491" top="0" bottom="0.17" header="0" footer="0.4"/>
  <pageSetup paperSize="9" scale="71" orientation="portrait" r:id="rId1"/>
  <colBreaks count="2" manualBreakCount="2">
    <brk id="1" max="1048575" man="1"/>
    <brk id="10" min="1" max="32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 tint="0.59999389629810485"/>
    <pageSetUpPr fitToPage="1"/>
  </sheetPr>
  <dimension ref="B1:N33"/>
  <sheetViews>
    <sheetView rightToLeft="1" showWhiteSpace="0" topLeftCell="G1" zoomScale="85" zoomScaleNormal="85" zoomScalePageLayoutView="40" workbookViewId="0">
      <selection activeCell="T1" sqref="T1:V1048576"/>
    </sheetView>
  </sheetViews>
  <sheetFormatPr defaultRowHeight="13.8" x14ac:dyDescent="0.25"/>
  <cols>
    <col min="2" max="2" width="5.5" customWidth="1"/>
    <col min="3" max="3" width="4.19921875" customWidth="1"/>
    <col min="4" max="4" width="7.19921875" customWidth="1"/>
    <col min="5" max="5" width="4" customWidth="1"/>
    <col min="6" max="6" width="15.59765625" customWidth="1"/>
    <col min="7" max="7" width="17.09765625" customWidth="1"/>
    <col min="8" max="8" width="19.69921875" customWidth="1"/>
    <col min="9" max="9" width="12.5" bestFit="1" customWidth="1"/>
    <col min="10" max="10" width="4.69921875" customWidth="1"/>
    <col min="11" max="11" width="13.5" customWidth="1"/>
    <col min="12" max="13" width="9.5" customWidth="1"/>
    <col min="14" max="14" width="5.09765625" customWidth="1"/>
  </cols>
  <sheetData>
    <row r="1" spans="2:14" ht="14.4" thickBot="1" x14ac:dyDescent="0.3"/>
    <row r="2" spans="2:14" ht="24.6" customHeight="1" thickBot="1" x14ac:dyDescent="0.8">
      <c r="B2" s="81"/>
      <c r="C2" s="81"/>
      <c r="D2" s="81"/>
      <c r="E2" s="81"/>
      <c r="F2" s="82" t="s">
        <v>18</v>
      </c>
      <c r="G2" s="82"/>
      <c r="H2" s="82"/>
      <c r="I2" s="60" t="s">
        <v>0</v>
      </c>
      <c r="J2" s="83"/>
      <c r="K2" s="84"/>
      <c r="L2" s="60" t="s">
        <v>1</v>
      </c>
      <c r="M2" s="83"/>
      <c r="N2" s="84"/>
    </row>
    <row r="3" spans="2:14" ht="34.950000000000003" customHeight="1" thickBot="1" x14ac:dyDescent="0.3">
      <c r="B3" s="81"/>
      <c r="C3" s="81"/>
      <c r="D3" s="81"/>
      <c r="E3" s="81"/>
      <c r="F3" s="82"/>
      <c r="G3" s="82"/>
      <c r="H3" s="82"/>
      <c r="I3" s="9" t="s">
        <v>4</v>
      </c>
      <c r="J3" s="85"/>
      <c r="K3" s="85"/>
      <c r="L3" s="85"/>
      <c r="M3" s="85"/>
      <c r="N3" s="86"/>
    </row>
    <row r="4" spans="2:14" ht="24" thickBot="1" x14ac:dyDescent="0.8">
      <c r="B4" s="87" t="s">
        <v>2</v>
      </c>
      <c r="C4" s="87"/>
      <c r="D4" s="88"/>
      <c r="E4" s="84"/>
      <c r="F4" s="89"/>
      <c r="G4" s="60" t="s">
        <v>3</v>
      </c>
      <c r="H4" s="2"/>
      <c r="I4" s="60" t="s">
        <v>5</v>
      </c>
      <c r="J4" s="83"/>
      <c r="K4" s="83"/>
      <c r="L4" s="83"/>
      <c r="M4" s="83"/>
      <c r="N4" s="84"/>
    </row>
    <row r="5" spans="2:14" s="1" customFormat="1" ht="29.4" customHeight="1" thickBot="1" x14ac:dyDescent="0.3">
      <c r="B5" s="59" t="s">
        <v>6</v>
      </c>
      <c r="C5" s="100" t="s">
        <v>7</v>
      </c>
      <c r="D5" s="100"/>
      <c r="E5" s="100"/>
      <c r="F5" s="100" t="s">
        <v>8</v>
      </c>
      <c r="G5" s="100"/>
      <c r="H5" s="59" t="s">
        <v>9</v>
      </c>
      <c r="I5" s="97" t="s">
        <v>10</v>
      </c>
      <c r="J5" s="99"/>
      <c r="K5" s="97" t="s">
        <v>11</v>
      </c>
      <c r="L5" s="98"/>
      <c r="M5" s="98"/>
      <c r="N5" s="99"/>
    </row>
    <row r="6" spans="2:14" ht="27.6" thickBot="1" x14ac:dyDescent="1.05">
      <c r="B6" s="6">
        <v>2</v>
      </c>
      <c r="C6" s="90">
        <v>45060</v>
      </c>
      <c r="D6" s="91"/>
      <c r="E6" s="92"/>
      <c r="F6" s="93" t="s">
        <v>21</v>
      </c>
      <c r="G6" s="93"/>
      <c r="H6" s="4">
        <v>1300000</v>
      </c>
      <c r="I6" s="94">
        <v>417</v>
      </c>
      <c r="J6" s="95"/>
      <c r="K6" s="94"/>
      <c r="L6" s="96"/>
      <c r="M6" s="96"/>
      <c r="N6" s="95"/>
    </row>
    <row r="7" spans="2:14" ht="27.6" thickBot="1" x14ac:dyDescent="1.05">
      <c r="B7" s="6">
        <v>3</v>
      </c>
      <c r="C7" s="90">
        <v>45060</v>
      </c>
      <c r="D7" s="91"/>
      <c r="E7" s="92"/>
      <c r="F7" s="93" t="s">
        <v>241</v>
      </c>
      <c r="G7" s="93"/>
      <c r="H7" s="4">
        <v>7550000</v>
      </c>
      <c r="I7" s="94">
        <v>418</v>
      </c>
      <c r="J7" s="95"/>
      <c r="K7" s="94"/>
      <c r="L7" s="96"/>
      <c r="M7" s="96"/>
      <c r="N7" s="95"/>
    </row>
    <row r="8" spans="2:14" s="1" customFormat="1" ht="27.6" thickBot="1" x14ac:dyDescent="0.35">
      <c r="B8" s="14">
        <v>4</v>
      </c>
      <c r="C8" s="90">
        <v>45060</v>
      </c>
      <c r="D8" s="91"/>
      <c r="E8" s="92"/>
      <c r="F8" s="115" t="s">
        <v>242</v>
      </c>
      <c r="G8" s="115"/>
      <c r="H8" s="4">
        <v>1300000</v>
      </c>
      <c r="I8" s="94">
        <v>419</v>
      </c>
      <c r="J8" s="95"/>
      <c r="K8" s="97"/>
      <c r="L8" s="98"/>
      <c r="M8" s="98"/>
      <c r="N8" s="99"/>
    </row>
    <row r="9" spans="2:14" ht="27.6" thickBot="1" x14ac:dyDescent="1.05">
      <c r="B9" s="6">
        <v>5</v>
      </c>
      <c r="C9" s="90">
        <v>45061</v>
      </c>
      <c r="D9" s="91"/>
      <c r="E9" s="92"/>
      <c r="F9" s="93" t="s">
        <v>243</v>
      </c>
      <c r="G9" s="93"/>
      <c r="H9" s="4">
        <v>2500000</v>
      </c>
      <c r="I9" s="94">
        <v>420</v>
      </c>
      <c r="J9" s="95"/>
      <c r="K9" s="94"/>
      <c r="L9" s="96"/>
      <c r="M9" s="96"/>
      <c r="N9" s="95"/>
    </row>
    <row r="10" spans="2:14" ht="27.6" thickBot="1" x14ac:dyDescent="1.05">
      <c r="B10" s="6">
        <v>6</v>
      </c>
      <c r="C10" s="90">
        <v>45061</v>
      </c>
      <c r="D10" s="91"/>
      <c r="E10" s="92"/>
      <c r="F10" s="93" t="s">
        <v>244</v>
      </c>
      <c r="G10" s="93"/>
      <c r="H10" s="4">
        <v>630000</v>
      </c>
      <c r="I10" s="94">
        <v>421</v>
      </c>
      <c r="J10" s="95"/>
      <c r="K10" s="94"/>
      <c r="L10" s="96"/>
      <c r="M10" s="96"/>
      <c r="N10" s="95"/>
    </row>
    <row r="11" spans="2:14" ht="27.6" thickBot="1" x14ac:dyDescent="1.05">
      <c r="B11" s="6">
        <v>7</v>
      </c>
      <c r="C11" s="90">
        <v>45063</v>
      </c>
      <c r="D11" s="91"/>
      <c r="E11" s="92"/>
      <c r="F11" s="93" t="s">
        <v>245</v>
      </c>
      <c r="G11" s="93"/>
      <c r="H11" s="4">
        <v>3850000</v>
      </c>
      <c r="I11" s="94">
        <v>422</v>
      </c>
      <c r="J11" s="95"/>
      <c r="K11" s="94"/>
      <c r="L11" s="96"/>
      <c r="M11" s="96"/>
      <c r="N11" s="95"/>
    </row>
    <row r="12" spans="2:14" ht="27.6" thickBot="1" x14ac:dyDescent="1.05">
      <c r="B12" s="6">
        <v>8</v>
      </c>
      <c r="C12" s="90">
        <v>45063</v>
      </c>
      <c r="D12" s="91"/>
      <c r="E12" s="92"/>
      <c r="F12" s="93" t="s">
        <v>246</v>
      </c>
      <c r="G12" s="93"/>
      <c r="H12" s="4">
        <v>1110000</v>
      </c>
      <c r="I12" s="94">
        <v>423</v>
      </c>
      <c r="J12" s="95"/>
      <c r="K12" s="94"/>
      <c r="L12" s="96"/>
      <c r="M12" s="96"/>
      <c r="N12" s="95"/>
    </row>
    <row r="13" spans="2:14" ht="27.6" thickBot="1" x14ac:dyDescent="1.05">
      <c r="B13" s="6">
        <v>9</v>
      </c>
      <c r="C13" s="90">
        <v>45063</v>
      </c>
      <c r="D13" s="91"/>
      <c r="E13" s="92"/>
      <c r="F13" s="93" t="s">
        <v>72</v>
      </c>
      <c r="G13" s="93"/>
      <c r="H13" s="4">
        <v>20000000</v>
      </c>
      <c r="I13" s="94">
        <v>424</v>
      </c>
      <c r="J13" s="95"/>
      <c r="K13" s="94"/>
      <c r="L13" s="96"/>
      <c r="M13" s="96"/>
      <c r="N13" s="95"/>
    </row>
    <row r="14" spans="2:14" ht="27.6" thickBot="1" x14ac:dyDescent="1.05">
      <c r="B14" s="6">
        <v>10</v>
      </c>
      <c r="C14" s="90">
        <v>45063</v>
      </c>
      <c r="D14" s="91"/>
      <c r="E14" s="92"/>
      <c r="F14" s="93" t="s">
        <v>247</v>
      </c>
      <c r="G14" s="93"/>
      <c r="H14" s="4">
        <v>1200000</v>
      </c>
      <c r="I14" s="94">
        <v>425</v>
      </c>
      <c r="J14" s="95"/>
      <c r="K14" s="94"/>
      <c r="L14" s="96"/>
      <c r="M14" s="96"/>
      <c r="N14" s="95"/>
    </row>
    <row r="15" spans="2:14" ht="27.6" thickBot="1" x14ac:dyDescent="1.05">
      <c r="B15" s="6">
        <v>11</v>
      </c>
      <c r="C15" s="90">
        <v>45064</v>
      </c>
      <c r="D15" s="91"/>
      <c r="E15" s="92"/>
      <c r="F15" s="93" t="s">
        <v>248</v>
      </c>
      <c r="G15" s="93"/>
      <c r="H15" s="4">
        <v>1000000</v>
      </c>
      <c r="I15" s="94">
        <v>426</v>
      </c>
      <c r="J15" s="95"/>
      <c r="K15" s="94"/>
      <c r="L15" s="96"/>
      <c r="M15" s="96"/>
      <c r="N15" s="95"/>
    </row>
    <row r="16" spans="2:14" ht="27.6" thickBot="1" x14ac:dyDescent="1.05">
      <c r="B16" s="6">
        <v>12</v>
      </c>
      <c r="C16" s="90">
        <v>45064</v>
      </c>
      <c r="D16" s="91"/>
      <c r="E16" s="92"/>
      <c r="F16" s="93" t="s">
        <v>59</v>
      </c>
      <c r="G16" s="93"/>
      <c r="H16" s="4">
        <v>11065000</v>
      </c>
      <c r="I16" s="94">
        <v>427</v>
      </c>
      <c r="J16" s="95"/>
      <c r="K16" s="94"/>
      <c r="L16" s="96"/>
      <c r="M16" s="96"/>
      <c r="N16" s="95"/>
    </row>
    <row r="17" spans="2:14" ht="27.6" thickBot="1" x14ac:dyDescent="1.05">
      <c r="B17" s="6">
        <v>13</v>
      </c>
      <c r="C17" s="90">
        <v>45065</v>
      </c>
      <c r="D17" s="91"/>
      <c r="E17" s="92"/>
      <c r="F17" s="93" t="s">
        <v>21</v>
      </c>
      <c r="G17" s="93"/>
      <c r="H17" s="4">
        <v>1300000</v>
      </c>
      <c r="I17" s="94">
        <v>428</v>
      </c>
      <c r="J17" s="95"/>
      <c r="K17" s="94"/>
      <c r="L17" s="96"/>
      <c r="M17" s="96"/>
      <c r="N17" s="95"/>
    </row>
    <row r="18" spans="2:14" ht="27.6" thickBot="1" x14ac:dyDescent="1.05">
      <c r="B18" s="6">
        <v>14</v>
      </c>
      <c r="C18" s="90">
        <v>45067</v>
      </c>
      <c r="D18" s="91"/>
      <c r="E18" s="92"/>
      <c r="F18" s="93" t="s">
        <v>269</v>
      </c>
      <c r="G18" s="93"/>
      <c r="H18" s="4">
        <v>3000000</v>
      </c>
      <c r="I18" s="94">
        <v>429</v>
      </c>
      <c r="J18" s="95"/>
      <c r="K18" s="94"/>
      <c r="L18" s="96"/>
      <c r="M18" s="96"/>
      <c r="N18" s="95"/>
    </row>
    <row r="19" spans="2:14" ht="27.6" thickBot="1" x14ac:dyDescent="1.05">
      <c r="B19" s="6">
        <v>15</v>
      </c>
      <c r="C19" s="90">
        <v>45068</v>
      </c>
      <c r="D19" s="91"/>
      <c r="E19" s="92"/>
      <c r="F19" s="93" t="s">
        <v>26</v>
      </c>
      <c r="G19" s="93"/>
      <c r="H19" s="4">
        <v>3000000</v>
      </c>
      <c r="I19" s="94">
        <v>430</v>
      </c>
      <c r="J19" s="95"/>
      <c r="K19" s="94"/>
      <c r="L19" s="96"/>
      <c r="M19" s="96"/>
      <c r="N19" s="95"/>
    </row>
    <row r="20" spans="2:14" ht="27.6" thickBot="1" x14ac:dyDescent="1.05">
      <c r="B20" s="6">
        <v>16</v>
      </c>
      <c r="C20" s="90">
        <v>45068</v>
      </c>
      <c r="D20" s="91"/>
      <c r="E20" s="92"/>
      <c r="F20" s="93" t="s">
        <v>249</v>
      </c>
      <c r="G20" s="93"/>
      <c r="H20" s="4">
        <v>21210000</v>
      </c>
      <c r="I20" s="94">
        <v>431</v>
      </c>
      <c r="J20" s="95"/>
      <c r="K20" s="94"/>
      <c r="L20" s="96"/>
      <c r="M20" s="96"/>
      <c r="N20" s="95"/>
    </row>
    <row r="21" spans="2:14" ht="27.6" thickBot="1" x14ac:dyDescent="1.05">
      <c r="B21" s="6">
        <v>17</v>
      </c>
      <c r="C21" s="90">
        <v>45066</v>
      </c>
      <c r="D21" s="91"/>
      <c r="E21" s="92"/>
      <c r="F21" s="93" t="s">
        <v>250</v>
      </c>
      <c r="G21" s="93"/>
      <c r="H21" s="4">
        <v>3800000</v>
      </c>
      <c r="I21" s="94">
        <v>432</v>
      </c>
      <c r="J21" s="95"/>
      <c r="K21" s="94"/>
      <c r="L21" s="96"/>
      <c r="M21" s="96"/>
      <c r="N21" s="95"/>
    </row>
    <row r="22" spans="2:14" ht="27.6" thickBot="1" x14ac:dyDescent="1.05">
      <c r="B22" s="6">
        <v>18</v>
      </c>
      <c r="C22" s="90">
        <v>45066</v>
      </c>
      <c r="D22" s="91"/>
      <c r="E22" s="92"/>
      <c r="F22" s="93" t="s">
        <v>251</v>
      </c>
      <c r="G22" s="93"/>
      <c r="H22" s="4">
        <v>22000000</v>
      </c>
      <c r="I22" s="94">
        <v>433</v>
      </c>
      <c r="J22" s="95"/>
      <c r="K22" s="94"/>
      <c r="L22" s="96"/>
      <c r="M22" s="96"/>
      <c r="N22" s="95"/>
    </row>
    <row r="23" spans="2:14" ht="27.6" thickBot="1" x14ac:dyDescent="1.05">
      <c r="B23" s="6">
        <v>19</v>
      </c>
      <c r="C23" s="90">
        <v>45066</v>
      </c>
      <c r="D23" s="91"/>
      <c r="E23" s="92"/>
      <c r="F23" s="93" t="s">
        <v>252</v>
      </c>
      <c r="G23" s="93"/>
      <c r="H23" s="4">
        <v>3500000</v>
      </c>
      <c r="I23" s="94">
        <v>434</v>
      </c>
      <c r="J23" s="95"/>
      <c r="K23" s="94"/>
      <c r="L23" s="96"/>
      <c r="M23" s="96"/>
      <c r="N23" s="95"/>
    </row>
    <row r="24" spans="2:14" ht="27.6" thickBot="1" x14ac:dyDescent="1.05">
      <c r="B24" s="6">
        <v>20</v>
      </c>
      <c r="C24" s="90">
        <v>45068</v>
      </c>
      <c r="D24" s="91"/>
      <c r="E24" s="92"/>
      <c r="F24" s="93" t="s">
        <v>253</v>
      </c>
      <c r="G24" s="93"/>
      <c r="H24" s="4">
        <v>3500000</v>
      </c>
      <c r="I24" s="94">
        <v>435</v>
      </c>
      <c r="J24" s="95"/>
      <c r="K24" s="94"/>
      <c r="L24" s="96"/>
      <c r="M24" s="96"/>
      <c r="N24" s="95"/>
    </row>
    <row r="25" spans="2:14" ht="27.6" thickBot="1" x14ac:dyDescent="1.05">
      <c r="B25" s="6">
        <v>21</v>
      </c>
      <c r="C25" s="90">
        <v>45069</v>
      </c>
      <c r="D25" s="91"/>
      <c r="E25" s="92"/>
      <c r="F25" s="93" t="s">
        <v>254</v>
      </c>
      <c r="G25" s="93"/>
      <c r="H25" s="4">
        <v>1500000</v>
      </c>
      <c r="I25" s="94">
        <v>436</v>
      </c>
      <c r="J25" s="95"/>
      <c r="K25" s="94"/>
      <c r="L25" s="96"/>
      <c r="M25" s="96"/>
      <c r="N25" s="95"/>
    </row>
    <row r="26" spans="2:14" ht="27.6" thickBot="1" x14ac:dyDescent="1.05">
      <c r="B26" s="6">
        <v>22</v>
      </c>
      <c r="C26" s="90">
        <v>45069</v>
      </c>
      <c r="D26" s="91"/>
      <c r="E26" s="92"/>
      <c r="F26" s="93" t="s">
        <v>238</v>
      </c>
      <c r="G26" s="93"/>
      <c r="H26" s="4">
        <v>10500000</v>
      </c>
      <c r="I26" s="94">
        <v>437</v>
      </c>
      <c r="J26" s="95"/>
      <c r="K26" s="94"/>
      <c r="L26" s="96"/>
      <c r="M26" s="96"/>
      <c r="N26" s="95"/>
    </row>
    <row r="27" spans="2:14" ht="27.6" thickBot="1" x14ac:dyDescent="1.05">
      <c r="B27" s="6">
        <v>23</v>
      </c>
      <c r="C27" s="90">
        <v>45070</v>
      </c>
      <c r="D27" s="91"/>
      <c r="E27" s="92"/>
      <c r="F27" s="93" t="s">
        <v>255</v>
      </c>
      <c r="G27" s="93"/>
      <c r="H27" s="4">
        <v>46400000</v>
      </c>
      <c r="I27" s="94">
        <v>438</v>
      </c>
      <c r="J27" s="95"/>
      <c r="K27" s="94"/>
      <c r="L27" s="96"/>
      <c r="M27" s="96"/>
      <c r="N27" s="95"/>
    </row>
    <row r="28" spans="2:14" ht="27.6" thickBot="1" x14ac:dyDescent="1.05">
      <c r="B28" s="6">
        <v>24</v>
      </c>
      <c r="C28" s="90">
        <v>45070</v>
      </c>
      <c r="D28" s="91"/>
      <c r="E28" s="92"/>
      <c r="F28" s="93" t="s">
        <v>256</v>
      </c>
      <c r="G28" s="93"/>
      <c r="H28" s="4">
        <v>48000000</v>
      </c>
      <c r="I28" s="94">
        <v>439</v>
      </c>
      <c r="J28" s="95"/>
      <c r="K28" s="94"/>
      <c r="L28" s="96"/>
      <c r="M28" s="96"/>
      <c r="N28" s="95"/>
    </row>
    <row r="29" spans="2:14" ht="27.6" thickBot="1" x14ac:dyDescent="1.05">
      <c r="B29" s="6"/>
      <c r="C29" s="90">
        <v>45070</v>
      </c>
      <c r="D29" s="91"/>
      <c r="E29" s="92"/>
      <c r="F29" s="94" t="s">
        <v>257</v>
      </c>
      <c r="G29" s="95"/>
      <c r="H29" s="4">
        <v>1800000</v>
      </c>
      <c r="I29" s="94">
        <v>440</v>
      </c>
      <c r="J29" s="95"/>
      <c r="K29" s="94"/>
      <c r="L29" s="96"/>
      <c r="M29" s="96"/>
      <c r="N29" s="95"/>
    </row>
    <row r="30" spans="2:14" ht="27.6" thickBot="1" x14ac:dyDescent="1.05">
      <c r="B30" s="6">
        <v>25</v>
      </c>
      <c r="C30" s="90">
        <v>45070</v>
      </c>
      <c r="D30" s="91"/>
      <c r="E30" s="92"/>
      <c r="F30" s="94" t="s">
        <v>21</v>
      </c>
      <c r="G30" s="95"/>
      <c r="H30" s="4">
        <v>1300000</v>
      </c>
      <c r="I30" s="94">
        <v>441</v>
      </c>
      <c r="J30" s="95"/>
      <c r="K30" s="112"/>
      <c r="L30" s="113"/>
      <c r="M30" s="113"/>
      <c r="N30" s="114"/>
    </row>
    <row r="31" spans="2:14" s="1" customFormat="1" ht="29.4" customHeight="1" thickTop="1" thickBot="1" x14ac:dyDescent="0.3">
      <c r="B31" s="102" t="s">
        <v>12</v>
      </c>
      <c r="C31" s="102"/>
      <c r="D31" s="102"/>
      <c r="E31" s="102"/>
      <c r="F31" s="102"/>
      <c r="G31" s="103">
        <f>SUM(H6:H30)</f>
        <v>222315000</v>
      </c>
      <c r="H31" s="104"/>
      <c r="I31" s="104"/>
      <c r="J31" s="105"/>
      <c r="K31" s="106"/>
      <c r="L31" s="107"/>
      <c r="M31" s="107"/>
      <c r="N31" s="108"/>
    </row>
    <row r="32" spans="2:14" s="1" customFormat="1" ht="29.4" customHeight="1" thickBot="1" x14ac:dyDescent="0.3">
      <c r="B32" s="100" t="s">
        <v>13</v>
      </c>
      <c r="C32" s="100"/>
      <c r="D32" s="100"/>
      <c r="E32" s="100"/>
      <c r="F32" s="100"/>
      <c r="G32" s="109"/>
      <c r="H32" s="110"/>
      <c r="I32" s="110"/>
      <c r="J32" s="111"/>
      <c r="K32" s="97"/>
      <c r="L32" s="98"/>
      <c r="M32" s="98"/>
      <c r="N32" s="99"/>
    </row>
    <row r="33" spans="2:14" ht="82.2" customHeight="1" thickBot="1" x14ac:dyDescent="0.3">
      <c r="B33" s="101" t="s">
        <v>14</v>
      </c>
      <c r="C33" s="101"/>
      <c r="D33" s="101"/>
      <c r="E33" s="101"/>
      <c r="F33" s="101" t="s">
        <v>15</v>
      </c>
      <c r="G33" s="101"/>
      <c r="H33" s="101" t="s">
        <v>16</v>
      </c>
      <c r="I33" s="101"/>
      <c r="J33" s="101" t="s">
        <v>17</v>
      </c>
      <c r="K33" s="101"/>
      <c r="L33" s="101"/>
      <c r="M33" s="101"/>
      <c r="N33" s="101"/>
    </row>
  </sheetData>
  <mergeCells count="122">
    <mergeCell ref="C5:E5"/>
    <mergeCell ref="F5:G5"/>
    <mergeCell ref="I5:J5"/>
    <mergeCell ref="K5:N5"/>
    <mergeCell ref="C6:E6"/>
    <mergeCell ref="F6:G6"/>
    <mergeCell ref="I6:J6"/>
    <mergeCell ref="K6:N6"/>
    <mergeCell ref="B2:E3"/>
    <mergeCell ref="F2:H3"/>
    <mergeCell ref="J2:K2"/>
    <mergeCell ref="M2:N2"/>
    <mergeCell ref="J3:N3"/>
    <mergeCell ref="B4:D4"/>
    <mergeCell ref="E4:F4"/>
    <mergeCell ref="J4:N4"/>
    <mergeCell ref="C9:E9"/>
    <mergeCell ref="F9:G9"/>
    <mergeCell ref="I9:J9"/>
    <mergeCell ref="K9:N9"/>
    <mergeCell ref="C10:E10"/>
    <mergeCell ref="F10:G10"/>
    <mergeCell ref="I10:J10"/>
    <mergeCell ref="K10:N10"/>
    <mergeCell ref="C7:E7"/>
    <mergeCell ref="F7:G7"/>
    <mergeCell ref="I7:J7"/>
    <mergeCell ref="K7:N7"/>
    <mergeCell ref="C8:E8"/>
    <mergeCell ref="F8:G8"/>
    <mergeCell ref="I8:J8"/>
    <mergeCell ref="K8:N8"/>
    <mergeCell ref="C13:E13"/>
    <mergeCell ref="F13:G13"/>
    <mergeCell ref="I13:J13"/>
    <mergeCell ref="K13:N13"/>
    <mergeCell ref="C14:E14"/>
    <mergeCell ref="F14:G14"/>
    <mergeCell ref="I14:J14"/>
    <mergeCell ref="K14:N14"/>
    <mergeCell ref="C11:E11"/>
    <mergeCell ref="F11:G11"/>
    <mergeCell ref="I11:J11"/>
    <mergeCell ref="K11:N11"/>
    <mergeCell ref="C12:E12"/>
    <mergeCell ref="F12:G12"/>
    <mergeCell ref="I12:J12"/>
    <mergeCell ref="K12:N12"/>
    <mergeCell ref="C17:E17"/>
    <mergeCell ref="F17:G17"/>
    <mergeCell ref="I17:J17"/>
    <mergeCell ref="K17:N17"/>
    <mergeCell ref="C18:E18"/>
    <mergeCell ref="F18:G18"/>
    <mergeCell ref="I18:J18"/>
    <mergeCell ref="K18:N18"/>
    <mergeCell ref="C15:E15"/>
    <mergeCell ref="F15:G15"/>
    <mergeCell ref="I15:J15"/>
    <mergeCell ref="K15:N15"/>
    <mergeCell ref="C16:E16"/>
    <mergeCell ref="F16:G16"/>
    <mergeCell ref="I16:J16"/>
    <mergeCell ref="K16:N16"/>
    <mergeCell ref="C21:E21"/>
    <mergeCell ref="F21:G21"/>
    <mergeCell ref="I21:J21"/>
    <mergeCell ref="K21:N21"/>
    <mergeCell ref="C22:E22"/>
    <mergeCell ref="F22:G22"/>
    <mergeCell ref="I22:J22"/>
    <mergeCell ref="K22:N22"/>
    <mergeCell ref="C19:E19"/>
    <mergeCell ref="F19:G19"/>
    <mergeCell ref="I19:J19"/>
    <mergeCell ref="K19:N19"/>
    <mergeCell ref="C20:E20"/>
    <mergeCell ref="F20:G20"/>
    <mergeCell ref="I20:J20"/>
    <mergeCell ref="K20:N20"/>
    <mergeCell ref="C25:E25"/>
    <mergeCell ref="F25:G25"/>
    <mergeCell ref="I25:J25"/>
    <mergeCell ref="K25:N25"/>
    <mergeCell ref="C26:E26"/>
    <mergeCell ref="F26:G26"/>
    <mergeCell ref="I26:J26"/>
    <mergeCell ref="K26:N26"/>
    <mergeCell ref="C23:E23"/>
    <mergeCell ref="F23:G23"/>
    <mergeCell ref="I23:J23"/>
    <mergeCell ref="K23:N23"/>
    <mergeCell ref="C24:E24"/>
    <mergeCell ref="F24:G24"/>
    <mergeCell ref="I24:J24"/>
    <mergeCell ref="K24:N24"/>
    <mergeCell ref="C29:E29"/>
    <mergeCell ref="F29:G29"/>
    <mergeCell ref="I29:J29"/>
    <mergeCell ref="K29:N29"/>
    <mergeCell ref="C30:E30"/>
    <mergeCell ref="F30:G30"/>
    <mergeCell ref="I30:J30"/>
    <mergeCell ref="K30:N30"/>
    <mergeCell ref="C27:E27"/>
    <mergeCell ref="F27:G27"/>
    <mergeCell ref="I27:J27"/>
    <mergeCell ref="K27:N27"/>
    <mergeCell ref="C28:E28"/>
    <mergeCell ref="F28:G28"/>
    <mergeCell ref="I28:J28"/>
    <mergeCell ref="K28:N28"/>
    <mergeCell ref="B33:E33"/>
    <mergeCell ref="F33:G33"/>
    <mergeCell ref="H33:I33"/>
    <mergeCell ref="J33:N33"/>
    <mergeCell ref="B31:F31"/>
    <mergeCell ref="G31:J31"/>
    <mergeCell ref="K31:N31"/>
    <mergeCell ref="B32:F32"/>
    <mergeCell ref="G32:J32"/>
    <mergeCell ref="K32:N32"/>
  </mergeCells>
  <printOptions horizontalCentered="1" verticalCentered="1"/>
  <pageMargins left="0" right="0.23622047244094491" top="0" bottom="0.17" header="0" footer="0.4"/>
  <pageSetup paperSize="9" scale="71" orientation="portrait" r:id="rId1"/>
  <colBreaks count="2" manualBreakCount="2">
    <brk id="1" max="1048575" man="1"/>
    <brk id="10" min="1" max="32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  <pageSetUpPr fitToPage="1"/>
  </sheetPr>
  <dimension ref="B1:N33"/>
  <sheetViews>
    <sheetView rightToLeft="1" showWhiteSpace="0" zoomScale="55" zoomScaleNormal="55" zoomScalePageLayoutView="40" workbookViewId="0">
      <selection activeCell="T1" sqref="T1:V1048576"/>
    </sheetView>
  </sheetViews>
  <sheetFormatPr defaultRowHeight="13.8" x14ac:dyDescent="0.25"/>
  <cols>
    <col min="2" max="2" width="5.5" customWidth="1"/>
    <col min="3" max="3" width="4.19921875" customWidth="1"/>
    <col min="4" max="4" width="7.19921875" customWidth="1"/>
    <col min="5" max="5" width="4" customWidth="1"/>
    <col min="6" max="6" width="15.59765625" customWidth="1"/>
    <col min="7" max="7" width="17.09765625" customWidth="1"/>
    <col min="8" max="8" width="19.69921875" customWidth="1"/>
    <col min="9" max="9" width="12.5" bestFit="1" customWidth="1"/>
    <col min="10" max="10" width="4.69921875" customWidth="1"/>
    <col min="11" max="11" width="13.5" customWidth="1"/>
    <col min="12" max="13" width="9.5" customWidth="1"/>
    <col min="14" max="14" width="5.09765625" customWidth="1"/>
  </cols>
  <sheetData>
    <row r="1" spans="2:14" ht="14.4" thickBot="1" x14ac:dyDescent="0.3"/>
    <row r="2" spans="2:14" ht="24.6" customHeight="1" thickBot="1" x14ac:dyDescent="0.8">
      <c r="B2" s="81"/>
      <c r="C2" s="81"/>
      <c r="D2" s="81"/>
      <c r="E2" s="81"/>
      <c r="F2" s="82" t="s">
        <v>18</v>
      </c>
      <c r="G2" s="82"/>
      <c r="H2" s="82"/>
      <c r="I2" s="58" t="s">
        <v>0</v>
      </c>
      <c r="J2" s="83"/>
      <c r="K2" s="84"/>
      <c r="L2" s="58" t="s">
        <v>1</v>
      </c>
      <c r="M2" s="83"/>
      <c r="N2" s="84"/>
    </row>
    <row r="3" spans="2:14" ht="34.950000000000003" customHeight="1" thickBot="1" x14ac:dyDescent="0.3">
      <c r="B3" s="81"/>
      <c r="C3" s="81"/>
      <c r="D3" s="81"/>
      <c r="E3" s="81"/>
      <c r="F3" s="82"/>
      <c r="G3" s="82"/>
      <c r="H3" s="82"/>
      <c r="I3" s="9" t="s">
        <v>4</v>
      </c>
      <c r="J3" s="85"/>
      <c r="K3" s="85"/>
      <c r="L3" s="85"/>
      <c r="M3" s="85"/>
      <c r="N3" s="86"/>
    </row>
    <row r="4" spans="2:14" ht="24" thickBot="1" x14ac:dyDescent="0.8">
      <c r="B4" s="87" t="s">
        <v>2</v>
      </c>
      <c r="C4" s="87"/>
      <c r="D4" s="88"/>
      <c r="E4" s="84"/>
      <c r="F4" s="89"/>
      <c r="G4" s="58" t="s">
        <v>3</v>
      </c>
      <c r="H4" s="2" t="s">
        <v>239</v>
      </c>
      <c r="I4" s="58" t="s">
        <v>5</v>
      </c>
      <c r="J4" s="83"/>
      <c r="K4" s="83"/>
      <c r="L4" s="83"/>
      <c r="M4" s="83"/>
      <c r="N4" s="84"/>
    </row>
    <row r="5" spans="2:14" s="1" customFormat="1" ht="29.4" customHeight="1" thickBot="1" x14ac:dyDescent="0.3">
      <c r="B5" s="57" t="s">
        <v>6</v>
      </c>
      <c r="C5" s="100" t="s">
        <v>7</v>
      </c>
      <c r="D5" s="100"/>
      <c r="E5" s="100"/>
      <c r="F5" s="100" t="s">
        <v>8</v>
      </c>
      <c r="G5" s="100"/>
      <c r="H5" s="57" t="s">
        <v>9</v>
      </c>
      <c r="I5" s="97" t="s">
        <v>10</v>
      </c>
      <c r="J5" s="99"/>
      <c r="K5" s="97" t="s">
        <v>11</v>
      </c>
      <c r="L5" s="98"/>
      <c r="M5" s="98"/>
      <c r="N5" s="99"/>
    </row>
    <row r="6" spans="2:14" ht="27.6" thickBot="1" x14ac:dyDescent="1.05">
      <c r="B6" s="6">
        <v>2</v>
      </c>
      <c r="C6" s="90">
        <v>45056</v>
      </c>
      <c r="D6" s="91"/>
      <c r="E6" s="92"/>
      <c r="F6" s="93" t="s">
        <v>110</v>
      </c>
      <c r="G6" s="93"/>
      <c r="H6" s="4">
        <v>1100000</v>
      </c>
      <c r="I6" s="94">
        <v>392</v>
      </c>
      <c r="J6" s="95"/>
      <c r="K6" s="94"/>
      <c r="L6" s="96"/>
      <c r="M6" s="96"/>
      <c r="N6" s="95"/>
    </row>
    <row r="7" spans="2:14" ht="27.6" thickBot="1" x14ac:dyDescent="1.05">
      <c r="B7" s="6">
        <v>3</v>
      </c>
      <c r="C7" s="90">
        <v>45056</v>
      </c>
      <c r="D7" s="91"/>
      <c r="E7" s="92"/>
      <c r="F7" s="93" t="s">
        <v>110</v>
      </c>
      <c r="G7" s="93"/>
      <c r="H7" s="4">
        <v>3000000</v>
      </c>
      <c r="I7" s="94">
        <v>393</v>
      </c>
      <c r="J7" s="95"/>
      <c r="K7" s="94"/>
      <c r="L7" s="96"/>
      <c r="M7" s="96"/>
      <c r="N7" s="95"/>
    </row>
    <row r="8" spans="2:14" s="1" customFormat="1" ht="27.6" thickBot="1" x14ac:dyDescent="0.35">
      <c r="B8" s="14">
        <v>4</v>
      </c>
      <c r="C8" s="90">
        <v>45057</v>
      </c>
      <c r="D8" s="91"/>
      <c r="E8" s="92"/>
      <c r="F8" s="115" t="s">
        <v>224</v>
      </c>
      <c r="G8" s="115"/>
      <c r="H8" s="4">
        <v>194350000</v>
      </c>
      <c r="I8" s="94">
        <v>394</v>
      </c>
      <c r="J8" s="95"/>
      <c r="K8" s="97"/>
      <c r="L8" s="98"/>
      <c r="M8" s="98"/>
      <c r="N8" s="99"/>
    </row>
    <row r="9" spans="2:14" ht="27.6" thickBot="1" x14ac:dyDescent="1.05">
      <c r="B9" s="6">
        <v>5</v>
      </c>
      <c r="C9" s="90">
        <v>45046</v>
      </c>
      <c r="D9" s="91"/>
      <c r="E9" s="92"/>
      <c r="F9" s="93" t="s">
        <v>41</v>
      </c>
      <c r="G9" s="93"/>
      <c r="H9" s="4">
        <v>900600</v>
      </c>
      <c r="I9" s="94">
        <v>395</v>
      </c>
      <c r="J9" s="95"/>
      <c r="K9" s="94"/>
      <c r="L9" s="96"/>
      <c r="M9" s="96"/>
      <c r="N9" s="95"/>
    </row>
    <row r="10" spans="2:14" ht="27.6" thickBot="1" x14ac:dyDescent="1.05">
      <c r="B10" s="6">
        <v>6</v>
      </c>
      <c r="C10" s="90">
        <v>45056</v>
      </c>
      <c r="D10" s="91"/>
      <c r="E10" s="92"/>
      <c r="F10" s="93" t="s">
        <v>41</v>
      </c>
      <c r="G10" s="93"/>
      <c r="H10" s="4">
        <v>900300</v>
      </c>
      <c r="I10" s="94">
        <v>396</v>
      </c>
      <c r="J10" s="95"/>
      <c r="K10" s="94"/>
      <c r="L10" s="96"/>
      <c r="M10" s="96"/>
      <c r="N10" s="95"/>
    </row>
    <row r="11" spans="2:14" ht="27.6" thickBot="1" x14ac:dyDescent="1.05">
      <c r="B11" s="6">
        <v>7</v>
      </c>
      <c r="C11" s="90">
        <v>45050</v>
      </c>
      <c r="D11" s="91"/>
      <c r="E11" s="92"/>
      <c r="F11" s="93" t="s">
        <v>21</v>
      </c>
      <c r="G11" s="93"/>
      <c r="H11" s="4">
        <v>1400000</v>
      </c>
      <c r="I11" s="94">
        <v>397</v>
      </c>
      <c r="J11" s="95"/>
      <c r="K11" s="94"/>
      <c r="L11" s="96"/>
      <c r="M11" s="96"/>
      <c r="N11" s="95"/>
    </row>
    <row r="12" spans="2:14" ht="27.6" thickBot="1" x14ac:dyDescent="1.05">
      <c r="B12" s="6">
        <v>8</v>
      </c>
      <c r="C12" s="90">
        <v>45053</v>
      </c>
      <c r="D12" s="91"/>
      <c r="E12" s="92"/>
      <c r="F12" s="93" t="s">
        <v>21</v>
      </c>
      <c r="G12" s="93"/>
      <c r="H12" s="4">
        <v>1050000</v>
      </c>
      <c r="I12" s="94">
        <v>398</v>
      </c>
      <c r="J12" s="95"/>
      <c r="K12" s="94"/>
      <c r="L12" s="96"/>
      <c r="M12" s="96"/>
      <c r="N12" s="95"/>
    </row>
    <row r="13" spans="2:14" ht="27.6" thickBot="1" x14ac:dyDescent="1.05">
      <c r="B13" s="6">
        <v>9</v>
      </c>
      <c r="C13" s="90">
        <v>45053</v>
      </c>
      <c r="D13" s="91"/>
      <c r="E13" s="92"/>
      <c r="F13" s="93" t="s">
        <v>225</v>
      </c>
      <c r="G13" s="93"/>
      <c r="H13" s="4">
        <v>5640000</v>
      </c>
      <c r="I13" s="94">
        <v>399</v>
      </c>
      <c r="J13" s="95"/>
      <c r="K13" s="94"/>
      <c r="L13" s="96"/>
      <c r="M13" s="96"/>
      <c r="N13" s="95"/>
    </row>
    <row r="14" spans="2:14" ht="27.6" thickBot="1" x14ac:dyDescent="1.05">
      <c r="B14" s="6">
        <v>10</v>
      </c>
      <c r="C14" s="90">
        <v>45055</v>
      </c>
      <c r="D14" s="91"/>
      <c r="E14" s="92"/>
      <c r="F14" s="93" t="s">
        <v>21</v>
      </c>
      <c r="G14" s="93"/>
      <c r="H14" s="4">
        <v>1300000</v>
      </c>
      <c r="I14" s="94">
        <v>400</v>
      </c>
      <c r="J14" s="95"/>
      <c r="K14" s="94"/>
      <c r="L14" s="96"/>
      <c r="M14" s="96"/>
      <c r="N14" s="95"/>
    </row>
    <row r="15" spans="2:14" ht="27.6" thickBot="1" x14ac:dyDescent="1.05">
      <c r="B15" s="6">
        <v>11</v>
      </c>
      <c r="C15" s="90">
        <v>45055</v>
      </c>
      <c r="D15" s="91"/>
      <c r="E15" s="92"/>
      <c r="F15" s="93" t="s">
        <v>26</v>
      </c>
      <c r="G15" s="93"/>
      <c r="H15" s="4">
        <v>3500000</v>
      </c>
      <c r="I15" s="94">
        <v>401</v>
      </c>
      <c r="J15" s="95"/>
      <c r="K15" s="94"/>
      <c r="L15" s="96"/>
      <c r="M15" s="96"/>
      <c r="N15" s="95"/>
    </row>
    <row r="16" spans="2:14" ht="27.6" thickBot="1" x14ac:dyDescent="1.05">
      <c r="B16" s="6">
        <v>12</v>
      </c>
      <c r="C16" s="90">
        <v>45056</v>
      </c>
      <c r="D16" s="91"/>
      <c r="E16" s="92"/>
      <c r="F16" s="93" t="s">
        <v>59</v>
      </c>
      <c r="G16" s="93"/>
      <c r="H16" s="4">
        <v>3705000</v>
      </c>
      <c r="I16" s="94">
        <v>402</v>
      </c>
      <c r="J16" s="95"/>
      <c r="K16" s="94"/>
      <c r="L16" s="96"/>
      <c r="M16" s="96"/>
      <c r="N16" s="95"/>
    </row>
    <row r="17" spans="2:14" ht="27.6" thickBot="1" x14ac:dyDescent="1.05">
      <c r="B17" s="6">
        <v>13</v>
      </c>
      <c r="C17" s="90">
        <v>45057</v>
      </c>
      <c r="D17" s="91"/>
      <c r="E17" s="92"/>
      <c r="F17" s="93" t="s">
        <v>226</v>
      </c>
      <c r="G17" s="93"/>
      <c r="H17" s="4">
        <v>2850000</v>
      </c>
      <c r="I17" s="94">
        <v>403</v>
      </c>
      <c r="J17" s="95"/>
      <c r="K17" s="94"/>
      <c r="L17" s="96"/>
      <c r="M17" s="96"/>
      <c r="N17" s="95"/>
    </row>
    <row r="18" spans="2:14" ht="27.6" thickBot="1" x14ac:dyDescent="1.05">
      <c r="B18" s="6">
        <v>14</v>
      </c>
      <c r="C18" s="90">
        <v>45057</v>
      </c>
      <c r="D18" s="91"/>
      <c r="E18" s="92"/>
      <c r="F18" s="93" t="s">
        <v>43</v>
      </c>
      <c r="G18" s="93"/>
      <c r="H18" s="4">
        <v>3000000</v>
      </c>
      <c r="I18" s="94">
        <v>404</v>
      </c>
      <c r="J18" s="95"/>
      <c r="K18" s="94"/>
      <c r="L18" s="96"/>
      <c r="M18" s="96"/>
      <c r="N18" s="95"/>
    </row>
    <row r="19" spans="2:14" ht="27.6" thickBot="1" x14ac:dyDescent="1.05">
      <c r="B19" s="6">
        <v>15</v>
      </c>
      <c r="C19" s="90">
        <v>45057</v>
      </c>
      <c r="D19" s="91"/>
      <c r="E19" s="92"/>
      <c r="F19" s="93" t="s">
        <v>110</v>
      </c>
      <c r="G19" s="93"/>
      <c r="H19" s="4">
        <v>1500000</v>
      </c>
      <c r="I19" s="94">
        <v>405</v>
      </c>
      <c r="J19" s="95"/>
      <c r="K19" s="94"/>
      <c r="L19" s="96"/>
      <c r="M19" s="96"/>
      <c r="N19" s="95"/>
    </row>
    <row r="20" spans="2:14" ht="27.6" thickBot="1" x14ac:dyDescent="1.05">
      <c r="B20" s="6">
        <v>16</v>
      </c>
      <c r="C20" s="90">
        <v>45055</v>
      </c>
      <c r="D20" s="91"/>
      <c r="E20" s="92"/>
      <c r="F20" s="93" t="s">
        <v>227</v>
      </c>
      <c r="G20" s="93"/>
      <c r="H20" s="4">
        <v>5600000</v>
      </c>
      <c r="I20" s="94">
        <v>406</v>
      </c>
      <c r="J20" s="95"/>
      <c r="K20" s="94"/>
      <c r="L20" s="96"/>
      <c r="M20" s="96"/>
      <c r="N20" s="95"/>
    </row>
    <row r="21" spans="2:14" ht="27.6" thickBot="1" x14ac:dyDescent="1.05">
      <c r="B21" s="6">
        <v>17</v>
      </c>
      <c r="C21" s="90">
        <v>45059</v>
      </c>
      <c r="D21" s="91"/>
      <c r="E21" s="92"/>
      <c r="F21" s="93" t="s">
        <v>228</v>
      </c>
      <c r="G21" s="93"/>
      <c r="H21" s="4">
        <v>6800000</v>
      </c>
      <c r="I21" s="94">
        <v>407</v>
      </c>
      <c r="J21" s="95"/>
      <c r="K21" s="94"/>
      <c r="L21" s="96"/>
      <c r="M21" s="96"/>
      <c r="N21" s="95"/>
    </row>
    <row r="22" spans="2:14" ht="27.6" thickBot="1" x14ac:dyDescent="1.05">
      <c r="B22" s="6">
        <v>18</v>
      </c>
      <c r="C22" s="90" t="s">
        <v>229</v>
      </c>
      <c r="D22" s="91"/>
      <c r="E22" s="92"/>
      <c r="F22" s="93" t="s">
        <v>230</v>
      </c>
      <c r="G22" s="93"/>
      <c r="H22" s="4">
        <v>3080000</v>
      </c>
      <c r="I22" s="94">
        <v>408</v>
      </c>
      <c r="J22" s="95"/>
      <c r="K22" s="94"/>
      <c r="L22" s="96"/>
      <c r="M22" s="96"/>
      <c r="N22" s="95"/>
    </row>
    <row r="23" spans="2:14" ht="27.6" thickBot="1" x14ac:dyDescent="1.05">
      <c r="B23" s="6">
        <v>19</v>
      </c>
      <c r="C23" s="90" t="s">
        <v>231</v>
      </c>
      <c r="D23" s="91"/>
      <c r="E23" s="92"/>
      <c r="F23" s="93" t="s">
        <v>232</v>
      </c>
      <c r="G23" s="93"/>
      <c r="H23" s="4">
        <v>40533700</v>
      </c>
      <c r="I23" s="94">
        <v>409</v>
      </c>
      <c r="J23" s="95"/>
      <c r="K23" s="94"/>
      <c r="L23" s="96"/>
      <c r="M23" s="96"/>
      <c r="N23" s="95"/>
    </row>
    <row r="24" spans="2:14" ht="27.6" thickBot="1" x14ac:dyDescent="1.05">
      <c r="B24" s="6">
        <v>20</v>
      </c>
      <c r="C24" s="90" t="s">
        <v>231</v>
      </c>
      <c r="D24" s="91"/>
      <c r="E24" s="92"/>
      <c r="F24" s="93" t="s">
        <v>240</v>
      </c>
      <c r="G24" s="93"/>
      <c r="H24" s="4">
        <v>100000000</v>
      </c>
      <c r="I24" s="94">
        <v>410</v>
      </c>
      <c r="J24" s="95"/>
      <c r="K24" s="94"/>
      <c r="L24" s="96"/>
      <c r="M24" s="96"/>
      <c r="N24" s="95"/>
    </row>
    <row r="25" spans="2:14" ht="27.6" thickBot="1" x14ac:dyDescent="1.05">
      <c r="B25" s="6">
        <v>21</v>
      </c>
      <c r="C25" s="90" t="s">
        <v>231</v>
      </c>
      <c r="D25" s="91"/>
      <c r="E25" s="92"/>
      <c r="F25" s="93" t="s">
        <v>110</v>
      </c>
      <c r="G25" s="93"/>
      <c r="H25" s="4">
        <v>3000000</v>
      </c>
      <c r="I25" s="94">
        <v>411</v>
      </c>
      <c r="J25" s="95"/>
      <c r="K25" s="94"/>
      <c r="L25" s="96"/>
      <c r="M25" s="96"/>
      <c r="N25" s="95"/>
    </row>
    <row r="26" spans="2:14" ht="27.6" thickBot="1" x14ac:dyDescent="1.05">
      <c r="B26" s="6">
        <v>22</v>
      </c>
      <c r="C26" s="90" t="s">
        <v>231</v>
      </c>
      <c r="D26" s="91"/>
      <c r="E26" s="92"/>
      <c r="F26" s="93" t="s">
        <v>179</v>
      </c>
      <c r="G26" s="93"/>
      <c r="H26" s="4">
        <v>13000000</v>
      </c>
      <c r="I26" s="94">
        <v>412</v>
      </c>
      <c r="J26" s="95"/>
      <c r="K26" s="94"/>
      <c r="L26" s="96"/>
      <c r="M26" s="96"/>
      <c r="N26" s="95"/>
    </row>
    <row r="27" spans="2:14" ht="27.6" thickBot="1" x14ac:dyDescent="1.05">
      <c r="B27" s="6">
        <v>23</v>
      </c>
      <c r="C27" s="90">
        <v>45162</v>
      </c>
      <c r="D27" s="91"/>
      <c r="E27" s="92"/>
      <c r="F27" s="93" t="s">
        <v>233</v>
      </c>
      <c r="G27" s="93"/>
      <c r="H27" s="4">
        <v>350000</v>
      </c>
      <c r="I27" s="94">
        <v>413</v>
      </c>
      <c r="J27" s="95"/>
      <c r="K27" s="94"/>
      <c r="L27" s="96"/>
      <c r="M27" s="96"/>
      <c r="N27" s="95"/>
    </row>
    <row r="28" spans="2:14" ht="27.6" thickBot="1" x14ac:dyDescent="1.05">
      <c r="B28" s="6">
        <v>24</v>
      </c>
      <c r="C28" s="90" t="s">
        <v>234</v>
      </c>
      <c r="D28" s="91"/>
      <c r="E28" s="92"/>
      <c r="F28" s="93" t="s">
        <v>235</v>
      </c>
      <c r="G28" s="93"/>
      <c r="H28" s="4">
        <v>700000</v>
      </c>
      <c r="I28" s="94">
        <v>414</v>
      </c>
      <c r="J28" s="95"/>
      <c r="K28" s="94"/>
      <c r="L28" s="96"/>
      <c r="M28" s="96"/>
      <c r="N28" s="95"/>
    </row>
    <row r="29" spans="2:14" ht="27.6" thickBot="1" x14ac:dyDescent="1.05">
      <c r="B29" s="6"/>
      <c r="C29" s="90" t="s">
        <v>234</v>
      </c>
      <c r="D29" s="91"/>
      <c r="E29" s="92"/>
      <c r="F29" s="94" t="s">
        <v>236</v>
      </c>
      <c r="G29" s="95"/>
      <c r="H29" s="4">
        <v>650000</v>
      </c>
      <c r="I29" s="94">
        <v>415</v>
      </c>
      <c r="J29" s="95"/>
      <c r="K29" s="94"/>
      <c r="L29" s="96"/>
      <c r="M29" s="96"/>
      <c r="N29" s="95"/>
    </row>
    <row r="30" spans="2:14" ht="27.6" thickBot="1" x14ac:dyDescent="1.05">
      <c r="B30" s="6">
        <v>25</v>
      </c>
      <c r="C30" s="90" t="s">
        <v>237</v>
      </c>
      <c r="D30" s="91"/>
      <c r="E30" s="92"/>
      <c r="F30" s="94" t="s">
        <v>238</v>
      </c>
      <c r="G30" s="95"/>
      <c r="H30" s="4">
        <v>50000000</v>
      </c>
      <c r="I30" s="94">
        <v>416</v>
      </c>
      <c r="J30" s="95"/>
      <c r="K30" s="112"/>
      <c r="L30" s="113"/>
      <c r="M30" s="113"/>
      <c r="N30" s="114"/>
    </row>
    <row r="31" spans="2:14" s="1" customFormat="1" ht="29.4" customHeight="1" thickTop="1" thickBot="1" x14ac:dyDescent="0.3">
      <c r="B31" s="102" t="s">
        <v>12</v>
      </c>
      <c r="C31" s="102"/>
      <c r="D31" s="102"/>
      <c r="E31" s="102"/>
      <c r="F31" s="102"/>
      <c r="G31" s="103">
        <f>SUM(H6:H30)</f>
        <v>447909600</v>
      </c>
      <c r="H31" s="104"/>
      <c r="I31" s="104"/>
      <c r="J31" s="105"/>
      <c r="K31" s="106"/>
      <c r="L31" s="107"/>
      <c r="M31" s="107"/>
      <c r="N31" s="108"/>
    </row>
    <row r="32" spans="2:14" s="1" customFormat="1" ht="29.4" customHeight="1" thickBot="1" x14ac:dyDescent="0.3">
      <c r="B32" s="100" t="s">
        <v>13</v>
      </c>
      <c r="C32" s="100"/>
      <c r="D32" s="100"/>
      <c r="E32" s="100"/>
      <c r="F32" s="100"/>
      <c r="G32" s="109"/>
      <c r="H32" s="110"/>
      <c r="I32" s="110"/>
      <c r="J32" s="111"/>
      <c r="K32" s="97"/>
      <c r="L32" s="98"/>
      <c r="M32" s="98"/>
      <c r="N32" s="99"/>
    </row>
    <row r="33" spans="2:14" ht="82.2" customHeight="1" thickBot="1" x14ac:dyDescent="0.3">
      <c r="B33" s="101" t="s">
        <v>14</v>
      </c>
      <c r="C33" s="101"/>
      <c r="D33" s="101"/>
      <c r="E33" s="101"/>
      <c r="F33" s="101" t="s">
        <v>15</v>
      </c>
      <c r="G33" s="101"/>
      <c r="H33" s="101" t="s">
        <v>16</v>
      </c>
      <c r="I33" s="101"/>
      <c r="J33" s="101" t="s">
        <v>17</v>
      </c>
      <c r="K33" s="101"/>
      <c r="L33" s="101"/>
      <c r="M33" s="101"/>
      <c r="N33" s="101"/>
    </row>
  </sheetData>
  <mergeCells count="122">
    <mergeCell ref="B32:F32"/>
    <mergeCell ref="G32:J32"/>
    <mergeCell ref="K32:N32"/>
    <mergeCell ref="B33:E33"/>
    <mergeCell ref="F33:G33"/>
    <mergeCell ref="H33:I33"/>
    <mergeCell ref="J33:N33"/>
    <mergeCell ref="C30:E30"/>
    <mergeCell ref="F30:G30"/>
    <mergeCell ref="I30:J30"/>
    <mergeCell ref="K30:N30"/>
    <mergeCell ref="B31:F31"/>
    <mergeCell ref="G31:J31"/>
    <mergeCell ref="K31:N31"/>
    <mergeCell ref="C28:E28"/>
    <mergeCell ref="F28:G28"/>
    <mergeCell ref="I28:J28"/>
    <mergeCell ref="K28:N28"/>
    <mergeCell ref="C29:E29"/>
    <mergeCell ref="F29:G29"/>
    <mergeCell ref="I29:J29"/>
    <mergeCell ref="K29:N29"/>
    <mergeCell ref="C26:E26"/>
    <mergeCell ref="F26:G26"/>
    <mergeCell ref="I26:J26"/>
    <mergeCell ref="K26:N26"/>
    <mergeCell ref="C27:E27"/>
    <mergeCell ref="F27:G27"/>
    <mergeCell ref="I27:J27"/>
    <mergeCell ref="K27:N27"/>
    <mergeCell ref="C24:E24"/>
    <mergeCell ref="F24:G24"/>
    <mergeCell ref="I24:J24"/>
    <mergeCell ref="K24:N24"/>
    <mergeCell ref="C25:E25"/>
    <mergeCell ref="F25:G25"/>
    <mergeCell ref="I25:J25"/>
    <mergeCell ref="K25:N25"/>
    <mergeCell ref="C22:E22"/>
    <mergeCell ref="F22:G22"/>
    <mergeCell ref="I22:J22"/>
    <mergeCell ref="K22:N22"/>
    <mergeCell ref="C23:E23"/>
    <mergeCell ref="F23:G23"/>
    <mergeCell ref="I23:J23"/>
    <mergeCell ref="K23:N23"/>
    <mergeCell ref="C20:E20"/>
    <mergeCell ref="F20:G20"/>
    <mergeCell ref="I20:J20"/>
    <mergeCell ref="K20:N20"/>
    <mergeCell ref="C21:E21"/>
    <mergeCell ref="F21:G21"/>
    <mergeCell ref="I21:J21"/>
    <mergeCell ref="K21:N21"/>
    <mergeCell ref="C18:E18"/>
    <mergeCell ref="F18:G18"/>
    <mergeCell ref="I18:J18"/>
    <mergeCell ref="K18:N18"/>
    <mergeCell ref="C19:E19"/>
    <mergeCell ref="F19:G19"/>
    <mergeCell ref="I19:J19"/>
    <mergeCell ref="K19:N19"/>
    <mergeCell ref="C16:E16"/>
    <mergeCell ref="F16:G16"/>
    <mergeCell ref="I16:J16"/>
    <mergeCell ref="K16:N16"/>
    <mergeCell ref="C17:E17"/>
    <mergeCell ref="F17:G17"/>
    <mergeCell ref="I17:J17"/>
    <mergeCell ref="K17:N17"/>
    <mergeCell ref="C14:E14"/>
    <mergeCell ref="F14:G14"/>
    <mergeCell ref="I14:J14"/>
    <mergeCell ref="K14:N14"/>
    <mergeCell ref="C15:E15"/>
    <mergeCell ref="F15:G15"/>
    <mergeCell ref="I15:J15"/>
    <mergeCell ref="K15:N15"/>
    <mergeCell ref="C12:E12"/>
    <mergeCell ref="F12:G12"/>
    <mergeCell ref="I12:J12"/>
    <mergeCell ref="K12:N12"/>
    <mergeCell ref="C13:E13"/>
    <mergeCell ref="F13:G13"/>
    <mergeCell ref="I13:J13"/>
    <mergeCell ref="K13:N13"/>
    <mergeCell ref="C10:E10"/>
    <mergeCell ref="F10:G10"/>
    <mergeCell ref="I10:J10"/>
    <mergeCell ref="K10:N10"/>
    <mergeCell ref="C11:E11"/>
    <mergeCell ref="F11:G11"/>
    <mergeCell ref="I11:J11"/>
    <mergeCell ref="K11:N11"/>
    <mergeCell ref="C8:E8"/>
    <mergeCell ref="F8:G8"/>
    <mergeCell ref="I8:J8"/>
    <mergeCell ref="K8:N8"/>
    <mergeCell ref="C9:E9"/>
    <mergeCell ref="F9:G9"/>
    <mergeCell ref="I9:J9"/>
    <mergeCell ref="K9:N9"/>
    <mergeCell ref="C6:E6"/>
    <mergeCell ref="F6:G6"/>
    <mergeCell ref="I6:J6"/>
    <mergeCell ref="K6:N6"/>
    <mergeCell ref="C7:E7"/>
    <mergeCell ref="F7:G7"/>
    <mergeCell ref="I7:J7"/>
    <mergeCell ref="K7:N7"/>
    <mergeCell ref="C5:E5"/>
    <mergeCell ref="F5:G5"/>
    <mergeCell ref="I5:J5"/>
    <mergeCell ref="K5:N5"/>
    <mergeCell ref="B2:E3"/>
    <mergeCell ref="F2:H3"/>
    <mergeCell ref="J2:K2"/>
    <mergeCell ref="M2:N2"/>
    <mergeCell ref="J3:N3"/>
    <mergeCell ref="B4:D4"/>
    <mergeCell ref="E4:F4"/>
    <mergeCell ref="J4:N4"/>
  </mergeCells>
  <printOptions horizontalCentered="1" verticalCentered="1"/>
  <pageMargins left="0" right="0.23622047244094491" top="0" bottom="0.17" header="0" footer="0.4"/>
  <pageSetup paperSize="9" scale="71" orientation="portrait" r:id="rId1"/>
  <colBreaks count="2" manualBreakCount="2">
    <brk id="1" max="1048575" man="1"/>
    <brk id="10" min="1" max="32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/>
    <pageSetUpPr fitToPage="1"/>
  </sheetPr>
  <dimension ref="B1:N34"/>
  <sheetViews>
    <sheetView rightToLeft="1" showWhiteSpace="0" topLeftCell="C1" zoomScale="70" zoomScaleNormal="70" zoomScalePageLayoutView="40" workbookViewId="0">
      <selection activeCell="T1" sqref="T1:V1048576"/>
    </sheetView>
  </sheetViews>
  <sheetFormatPr defaultRowHeight="13.8" x14ac:dyDescent="0.25"/>
  <cols>
    <col min="2" max="2" width="5.5" customWidth="1"/>
    <col min="3" max="3" width="4.19921875" customWidth="1"/>
    <col min="4" max="4" width="7.19921875" customWidth="1"/>
    <col min="5" max="5" width="4" customWidth="1"/>
    <col min="6" max="6" width="15.59765625" customWidth="1"/>
    <col min="7" max="7" width="17.09765625" customWidth="1"/>
    <col min="8" max="8" width="19.69921875" customWidth="1"/>
    <col min="9" max="9" width="12.5" bestFit="1" customWidth="1"/>
    <col min="10" max="10" width="4.69921875" customWidth="1"/>
    <col min="11" max="11" width="13.5" customWidth="1"/>
    <col min="12" max="13" width="9.5" customWidth="1"/>
    <col min="14" max="14" width="5.09765625" customWidth="1"/>
  </cols>
  <sheetData>
    <row r="1" spans="2:14" ht="14.4" thickBot="1" x14ac:dyDescent="0.3"/>
    <row r="2" spans="2:14" ht="24.6" customHeight="1" thickBot="1" x14ac:dyDescent="0.8">
      <c r="B2" s="81"/>
      <c r="C2" s="81"/>
      <c r="D2" s="81"/>
      <c r="E2" s="81"/>
      <c r="F2" s="82" t="s">
        <v>18</v>
      </c>
      <c r="G2" s="82"/>
      <c r="H2" s="82"/>
      <c r="I2" s="56" t="s">
        <v>0</v>
      </c>
      <c r="J2" s="83"/>
      <c r="K2" s="84"/>
      <c r="L2" s="56" t="s">
        <v>1</v>
      </c>
      <c r="M2" s="83"/>
      <c r="N2" s="84"/>
    </row>
    <row r="3" spans="2:14" ht="34.950000000000003" customHeight="1" thickBot="1" x14ac:dyDescent="0.3">
      <c r="B3" s="81"/>
      <c r="C3" s="81"/>
      <c r="D3" s="81"/>
      <c r="E3" s="81"/>
      <c r="F3" s="82"/>
      <c r="G3" s="82"/>
      <c r="H3" s="82"/>
      <c r="I3" s="9" t="s">
        <v>4</v>
      </c>
      <c r="J3" s="85"/>
      <c r="K3" s="85"/>
      <c r="L3" s="85"/>
      <c r="M3" s="85"/>
      <c r="N3" s="86"/>
    </row>
    <row r="4" spans="2:14" ht="24" thickBot="1" x14ac:dyDescent="0.8">
      <c r="B4" s="87" t="s">
        <v>2</v>
      </c>
      <c r="C4" s="87"/>
      <c r="D4" s="88"/>
      <c r="E4" s="84"/>
      <c r="F4" s="89"/>
      <c r="G4" s="56" t="s">
        <v>3</v>
      </c>
      <c r="H4" s="2"/>
      <c r="I4" s="56" t="s">
        <v>5</v>
      </c>
      <c r="J4" s="83"/>
      <c r="K4" s="83"/>
      <c r="L4" s="83"/>
      <c r="M4" s="83"/>
      <c r="N4" s="84"/>
    </row>
    <row r="5" spans="2:14" s="1" customFormat="1" ht="29.4" customHeight="1" thickBot="1" x14ac:dyDescent="0.3">
      <c r="B5" s="55" t="s">
        <v>6</v>
      </c>
      <c r="C5" s="100" t="s">
        <v>7</v>
      </c>
      <c r="D5" s="100"/>
      <c r="E5" s="100"/>
      <c r="F5" s="100" t="s">
        <v>8</v>
      </c>
      <c r="G5" s="100"/>
      <c r="H5" s="55" t="s">
        <v>9</v>
      </c>
      <c r="I5" s="97" t="s">
        <v>10</v>
      </c>
      <c r="J5" s="99"/>
      <c r="K5" s="97" t="s">
        <v>11</v>
      </c>
      <c r="L5" s="98"/>
      <c r="M5" s="98"/>
      <c r="N5" s="99"/>
    </row>
    <row r="6" spans="2:14" ht="27.6" thickBot="1" x14ac:dyDescent="1.05">
      <c r="B6" s="6">
        <v>1</v>
      </c>
      <c r="C6" s="90">
        <v>45045</v>
      </c>
      <c r="D6" s="91"/>
      <c r="E6" s="92"/>
      <c r="F6" s="93" t="s">
        <v>210</v>
      </c>
      <c r="G6" s="93"/>
      <c r="H6" s="4">
        <v>1100000</v>
      </c>
      <c r="I6" s="94">
        <v>366</v>
      </c>
      <c r="J6" s="95"/>
      <c r="K6" s="94"/>
      <c r="L6" s="96"/>
      <c r="M6" s="96"/>
      <c r="N6" s="95"/>
    </row>
    <row r="7" spans="2:14" ht="27.6" thickBot="1" x14ac:dyDescent="1.05">
      <c r="B7" s="6">
        <v>2</v>
      </c>
      <c r="C7" s="90">
        <v>45045</v>
      </c>
      <c r="D7" s="91"/>
      <c r="E7" s="92"/>
      <c r="F7" s="93" t="s">
        <v>211</v>
      </c>
      <c r="G7" s="93"/>
      <c r="H7" s="4">
        <v>800000</v>
      </c>
      <c r="I7" s="94">
        <v>367</v>
      </c>
      <c r="J7" s="95"/>
      <c r="K7" s="94"/>
      <c r="L7" s="96"/>
      <c r="M7" s="96"/>
      <c r="N7" s="95"/>
    </row>
    <row r="8" spans="2:14" ht="27.6" thickBot="1" x14ac:dyDescent="1.05">
      <c r="B8" s="6">
        <v>3</v>
      </c>
      <c r="C8" s="90">
        <v>45045</v>
      </c>
      <c r="D8" s="91"/>
      <c r="E8" s="92"/>
      <c r="F8" s="93" t="s">
        <v>212</v>
      </c>
      <c r="G8" s="93"/>
      <c r="H8" s="4">
        <v>24300000</v>
      </c>
      <c r="I8" s="94">
        <v>368</v>
      </c>
      <c r="J8" s="95"/>
      <c r="K8" s="94"/>
      <c r="L8" s="96"/>
      <c r="M8" s="96"/>
      <c r="N8" s="95"/>
    </row>
    <row r="9" spans="2:14" s="1" customFormat="1" ht="27.6" thickBot="1" x14ac:dyDescent="0.35">
      <c r="B9" s="14">
        <v>4</v>
      </c>
      <c r="C9" s="90">
        <v>45045</v>
      </c>
      <c r="D9" s="91"/>
      <c r="E9" s="92"/>
      <c r="F9" s="115" t="s">
        <v>213</v>
      </c>
      <c r="G9" s="115"/>
      <c r="H9" s="4">
        <v>2690000</v>
      </c>
      <c r="I9" s="94">
        <v>369</v>
      </c>
      <c r="J9" s="95"/>
      <c r="K9" s="97"/>
      <c r="L9" s="98"/>
      <c r="M9" s="98"/>
      <c r="N9" s="99"/>
    </row>
    <row r="10" spans="2:14" ht="27.6" thickBot="1" x14ac:dyDescent="1.05">
      <c r="B10" s="6">
        <v>5</v>
      </c>
      <c r="C10" s="90">
        <v>45046</v>
      </c>
      <c r="D10" s="91"/>
      <c r="E10" s="92"/>
      <c r="F10" s="93" t="s">
        <v>214</v>
      </c>
      <c r="G10" s="93"/>
      <c r="H10" s="4">
        <v>300000</v>
      </c>
      <c r="I10" s="94">
        <v>370</v>
      </c>
      <c r="J10" s="95"/>
      <c r="K10" s="94"/>
      <c r="L10" s="96"/>
      <c r="M10" s="96"/>
      <c r="N10" s="95"/>
    </row>
    <row r="11" spans="2:14" ht="27.6" thickBot="1" x14ac:dyDescent="1.05">
      <c r="B11" s="6">
        <v>6</v>
      </c>
      <c r="C11" s="90">
        <v>45046</v>
      </c>
      <c r="D11" s="91"/>
      <c r="E11" s="92"/>
      <c r="F11" s="93" t="s">
        <v>21</v>
      </c>
      <c r="G11" s="93"/>
      <c r="H11" s="4">
        <v>1400000</v>
      </c>
      <c r="I11" s="94">
        <v>371</v>
      </c>
      <c r="J11" s="95"/>
      <c r="K11" s="94"/>
      <c r="L11" s="96"/>
      <c r="M11" s="96"/>
      <c r="N11" s="95"/>
    </row>
    <row r="12" spans="2:14" ht="27.6" thickBot="1" x14ac:dyDescent="1.05">
      <c r="B12" s="6">
        <v>7</v>
      </c>
      <c r="C12" s="90">
        <v>45046</v>
      </c>
      <c r="D12" s="91"/>
      <c r="E12" s="92"/>
      <c r="F12" s="93" t="s">
        <v>215</v>
      </c>
      <c r="G12" s="93"/>
      <c r="H12" s="4">
        <v>930000</v>
      </c>
      <c r="I12" s="94">
        <v>372</v>
      </c>
      <c r="J12" s="95"/>
      <c r="K12" s="94"/>
      <c r="L12" s="96"/>
      <c r="M12" s="96"/>
      <c r="N12" s="95"/>
    </row>
    <row r="13" spans="2:14" ht="27.6" thickBot="1" x14ac:dyDescent="1.05">
      <c r="B13" s="6">
        <v>8</v>
      </c>
      <c r="C13" s="90">
        <v>45047</v>
      </c>
      <c r="D13" s="91"/>
      <c r="E13" s="92"/>
      <c r="F13" s="93" t="s">
        <v>59</v>
      </c>
      <c r="G13" s="93"/>
      <c r="H13" s="4">
        <v>1395000</v>
      </c>
      <c r="I13" s="94">
        <v>373</v>
      </c>
      <c r="J13" s="95"/>
      <c r="K13" s="94"/>
      <c r="L13" s="96"/>
      <c r="M13" s="96"/>
      <c r="N13" s="95"/>
    </row>
    <row r="14" spans="2:14" ht="27.6" thickBot="1" x14ac:dyDescent="1.05">
      <c r="B14" s="6">
        <v>9</v>
      </c>
      <c r="C14" s="90">
        <v>45048</v>
      </c>
      <c r="D14" s="91"/>
      <c r="E14" s="92"/>
      <c r="F14" s="93" t="s">
        <v>59</v>
      </c>
      <c r="G14" s="93"/>
      <c r="H14" s="4">
        <v>1775000</v>
      </c>
      <c r="I14" s="94">
        <v>374</v>
      </c>
      <c r="J14" s="95"/>
      <c r="K14" s="94"/>
      <c r="L14" s="96"/>
      <c r="M14" s="96"/>
      <c r="N14" s="95"/>
    </row>
    <row r="15" spans="2:14" ht="27.6" thickBot="1" x14ac:dyDescent="1.05">
      <c r="B15" s="6">
        <v>10</v>
      </c>
      <c r="C15" s="90">
        <v>45049</v>
      </c>
      <c r="D15" s="91"/>
      <c r="E15" s="92"/>
      <c r="F15" s="93" t="s">
        <v>216</v>
      </c>
      <c r="G15" s="93"/>
      <c r="H15" s="4">
        <v>6900000</v>
      </c>
      <c r="I15" s="94">
        <v>375</v>
      </c>
      <c r="J15" s="95"/>
      <c r="K15" s="94"/>
      <c r="L15" s="96"/>
      <c r="M15" s="96"/>
      <c r="N15" s="95"/>
    </row>
    <row r="16" spans="2:14" ht="27.6" thickBot="1" x14ac:dyDescent="1.05">
      <c r="B16" s="6">
        <v>11</v>
      </c>
      <c r="C16" s="90">
        <v>45049</v>
      </c>
      <c r="D16" s="91"/>
      <c r="E16" s="92"/>
      <c r="F16" s="93" t="s">
        <v>217</v>
      </c>
      <c r="G16" s="93"/>
      <c r="H16" s="4">
        <v>500000</v>
      </c>
      <c r="I16" s="94">
        <v>376</v>
      </c>
      <c r="J16" s="95"/>
      <c r="K16" s="94"/>
      <c r="L16" s="96"/>
      <c r="M16" s="96"/>
      <c r="N16" s="95"/>
    </row>
    <row r="17" spans="2:14" ht="27.6" thickBot="1" x14ac:dyDescent="1.05">
      <c r="B17" s="6">
        <v>12</v>
      </c>
      <c r="C17" s="90">
        <v>45049</v>
      </c>
      <c r="D17" s="91"/>
      <c r="E17" s="92"/>
      <c r="F17" s="93" t="s">
        <v>169</v>
      </c>
      <c r="G17" s="93"/>
      <c r="H17" s="4">
        <v>4000000</v>
      </c>
      <c r="I17" s="94">
        <v>377</v>
      </c>
      <c r="J17" s="95"/>
      <c r="K17" s="94"/>
      <c r="L17" s="96"/>
      <c r="M17" s="96"/>
      <c r="N17" s="95"/>
    </row>
    <row r="18" spans="2:14" ht="27.6" thickBot="1" x14ac:dyDescent="1.05">
      <c r="B18" s="6">
        <v>13</v>
      </c>
      <c r="C18" s="90">
        <v>45049</v>
      </c>
      <c r="D18" s="91"/>
      <c r="E18" s="92"/>
      <c r="F18" s="93" t="s">
        <v>45</v>
      </c>
      <c r="G18" s="93"/>
      <c r="H18" s="4">
        <v>3000000</v>
      </c>
      <c r="I18" s="94">
        <v>378</v>
      </c>
      <c r="J18" s="95"/>
      <c r="K18" s="94"/>
      <c r="L18" s="96"/>
      <c r="M18" s="96"/>
      <c r="N18" s="95"/>
    </row>
    <row r="19" spans="2:14" ht="27.6" thickBot="1" x14ac:dyDescent="1.05">
      <c r="B19" s="6">
        <v>14</v>
      </c>
      <c r="C19" s="90">
        <v>45050</v>
      </c>
      <c r="D19" s="91"/>
      <c r="E19" s="92"/>
      <c r="F19" s="93" t="s">
        <v>218</v>
      </c>
      <c r="G19" s="93"/>
      <c r="H19" s="4">
        <v>18000000</v>
      </c>
      <c r="I19" s="94">
        <v>379</v>
      </c>
      <c r="J19" s="95"/>
      <c r="K19" s="94"/>
      <c r="L19" s="96"/>
      <c r="M19" s="96"/>
      <c r="N19" s="95"/>
    </row>
    <row r="20" spans="2:14" ht="27.6" thickBot="1" x14ac:dyDescent="1.05">
      <c r="B20" s="6">
        <v>15</v>
      </c>
      <c r="C20" s="90">
        <v>45050</v>
      </c>
      <c r="D20" s="91"/>
      <c r="E20" s="92"/>
      <c r="F20" s="93" t="s">
        <v>219</v>
      </c>
      <c r="G20" s="93"/>
      <c r="H20" s="4">
        <v>26400000</v>
      </c>
      <c r="I20" s="94">
        <v>380</v>
      </c>
      <c r="J20" s="95"/>
      <c r="K20" s="94"/>
      <c r="L20" s="96"/>
      <c r="M20" s="96"/>
      <c r="N20" s="95"/>
    </row>
    <row r="21" spans="2:14" ht="27.6" thickBot="1" x14ac:dyDescent="1.05">
      <c r="B21" s="6">
        <v>16</v>
      </c>
      <c r="C21" s="90">
        <v>45050</v>
      </c>
      <c r="D21" s="91"/>
      <c r="E21" s="92"/>
      <c r="F21" s="93" t="s">
        <v>110</v>
      </c>
      <c r="G21" s="93"/>
      <c r="H21" s="4">
        <v>2000000</v>
      </c>
      <c r="I21" s="94">
        <v>381</v>
      </c>
      <c r="J21" s="95"/>
      <c r="K21" s="94"/>
      <c r="L21" s="96"/>
      <c r="M21" s="96"/>
      <c r="N21" s="95"/>
    </row>
    <row r="22" spans="2:14" ht="27.6" thickBot="1" x14ac:dyDescent="1.05">
      <c r="B22" s="6">
        <v>17</v>
      </c>
      <c r="C22" s="90">
        <v>45050</v>
      </c>
      <c r="D22" s="91"/>
      <c r="E22" s="92"/>
      <c r="F22" s="93" t="s">
        <v>220</v>
      </c>
      <c r="G22" s="93"/>
      <c r="H22" s="4">
        <v>1200000</v>
      </c>
      <c r="I22" s="94">
        <v>382</v>
      </c>
      <c r="J22" s="95"/>
      <c r="K22" s="94"/>
      <c r="L22" s="96"/>
      <c r="M22" s="96"/>
      <c r="N22" s="95"/>
    </row>
    <row r="23" spans="2:14" ht="27.6" thickBot="1" x14ac:dyDescent="1.05">
      <c r="B23" s="6">
        <v>18</v>
      </c>
      <c r="C23" s="90">
        <v>45050</v>
      </c>
      <c r="D23" s="91"/>
      <c r="E23" s="92"/>
      <c r="F23" s="93" t="s">
        <v>144</v>
      </c>
      <c r="G23" s="93"/>
      <c r="H23" s="4">
        <v>2400000</v>
      </c>
      <c r="I23" s="94">
        <v>383</v>
      </c>
      <c r="J23" s="95"/>
      <c r="K23" s="94"/>
      <c r="L23" s="96"/>
      <c r="M23" s="96"/>
      <c r="N23" s="95"/>
    </row>
    <row r="24" spans="2:14" ht="27.6" thickBot="1" x14ac:dyDescent="1.05">
      <c r="B24" s="6">
        <v>19</v>
      </c>
      <c r="C24" s="90">
        <v>45050</v>
      </c>
      <c r="D24" s="91"/>
      <c r="E24" s="92"/>
      <c r="F24" s="93" t="s">
        <v>144</v>
      </c>
      <c r="G24" s="93"/>
      <c r="H24" s="4">
        <v>1000000</v>
      </c>
      <c r="I24" s="94">
        <v>384</v>
      </c>
      <c r="J24" s="95"/>
      <c r="K24" s="94"/>
      <c r="L24" s="96"/>
      <c r="M24" s="96"/>
      <c r="N24" s="95"/>
    </row>
    <row r="25" spans="2:14" ht="27.6" thickBot="1" x14ac:dyDescent="1.05">
      <c r="B25" s="6">
        <v>20</v>
      </c>
      <c r="C25" s="90">
        <v>45052</v>
      </c>
      <c r="D25" s="91"/>
      <c r="E25" s="92"/>
      <c r="F25" s="93" t="s">
        <v>221</v>
      </c>
      <c r="G25" s="93"/>
      <c r="H25" s="4">
        <v>37500000</v>
      </c>
      <c r="I25" s="94">
        <v>385</v>
      </c>
      <c r="J25" s="95"/>
      <c r="K25" s="94"/>
      <c r="L25" s="96"/>
      <c r="M25" s="96"/>
      <c r="N25" s="95"/>
    </row>
    <row r="26" spans="2:14" ht="27.6" thickBot="1" x14ac:dyDescent="1.05">
      <c r="B26" s="6">
        <v>21</v>
      </c>
      <c r="C26" s="90">
        <v>45052</v>
      </c>
      <c r="D26" s="91"/>
      <c r="E26" s="92"/>
      <c r="F26" s="93" t="s">
        <v>222</v>
      </c>
      <c r="G26" s="93"/>
      <c r="H26" s="4">
        <v>2750000</v>
      </c>
      <c r="I26" s="94">
        <v>386</v>
      </c>
      <c r="J26" s="95"/>
      <c r="K26" s="94"/>
      <c r="L26" s="96"/>
      <c r="M26" s="96"/>
      <c r="N26" s="95"/>
    </row>
    <row r="27" spans="2:14" ht="27.6" thickBot="1" x14ac:dyDescent="1.05">
      <c r="B27" s="6">
        <v>22</v>
      </c>
      <c r="C27" s="90">
        <v>45052</v>
      </c>
      <c r="D27" s="91"/>
      <c r="E27" s="92"/>
      <c r="F27" s="93" t="s">
        <v>211</v>
      </c>
      <c r="G27" s="93"/>
      <c r="H27" s="4">
        <v>2250000</v>
      </c>
      <c r="I27" s="94">
        <v>387</v>
      </c>
      <c r="J27" s="95"/>
      <c r="K27" s="94"/>
      <c r="L27" s="96"/>
      <c r="M27" s="96"/>
      <c r="N27" s="95"/>
    </row>
    <row r="28" spans="2:14" ht="27.6" thickBot="1" x14ac:dyDescent="1.05">
      <c r="B28" s="6">
        <v>23</v>
      </c>
      <c r="C28" s="90">
        <v>45053</v>
      </c>
      <c r="D28" s="91"/>
      <c r="E28" s="92"/>
      <c r="F28" s="93" t="s">
        <v>223</v>
      </c>
      <c r="G28" s="93"/>
      <c r="H28" s="4">
        <v>52500000</v>
      </c>
      <c r="I28" s="94">
        <v>388</v>
      </c>
      <c r="J28" s="95"/>
      <c r="K28" s="94"/>
      <c r="L28" s="96"/>
      <c r="M28" s="96"/>
      <c r="N28" s="95"/>
    </row>
    <row r="29" spans="2:14" ht="27.6" thickBot="1" x14ac:dyDescent="1.05">
      <c r="B29" s="6">
        <v>24</v>
      </c>
      <c r="C29" s="90">
        <v>45053</v>
      </c>
      <c r="D29" s="91"/>
      <c r="E29" s="92"/>
      <c r="F29" s="93" t="s">
        <v>110</v>
      </c>
      <c r="G29" s="93"/>
      <c r="H29" s="4">
        <v>1500000</v>
      </c>
      <c r="I29" s="94">
        <v>389</v>
      </c>
      <c r="J29" s="95"/>
      <c r="K29" s="94"/>
      <c r="L29" s="96"/>
      <c r="M29" s="96"/>
      <c r="N29" s="95"/>
    </row>
    <row r="30" spans="2:14" ht="27.6" thickBot="1" x14ac:dyDescent="1.05">
      <c r="B30" s="6"/>
      <c r="C30" s="90">
        <v>45053</v>
      </c>
      <c r="D30" s="91"/>
      <c r="E30" s="92"/>
      <c r="F30" s="94" t="s">
        <v>144</v>
      </c>
      <c r="G30" s="95"/>
      <c r="H30" s="4">
        <v>1000000</v>
      </c>
      <c r="I30" s="94">
        <v>390</v>
      </c>
      <c r="J30" s="95"/>
      <c r="K30" s="94"/>
      <c r="L30" s="96"/>
      <c r="M30" s="96"/>
      <c r="N30" s="95"/>
    </row>
    <row r="31" spans="2:14" ht="27.6" thickBot="1" x14ac:dyDescent="1.05">
      <c r="B31" s="6">
        <v>25</v>
      </c>
      <c r="C31" s="90">
        <v>45053</v>
      </c>
      <c r="D31" s="91"/>
      <c r="E31" s="92"/>
      <c r="F31" s="94" t="s">
        <v>144</v>
      </c>
      <c r="G31" s="95"/>
      <c r="H31" s="4">
        <v>1500000</v>
      </c>
      <c r="I31" s="94">
        <v>391</v>
      </c>
      <c r="J31" s="95"/>
      <c r="K31" s="112"/>
      <c r="L31" s="113"/>
      <c r="M31" s="113"/>
      <c r="N31" s="114"/>
    </row>
    <row r="32" spans="2:14" s="1" customFormat="1" ht="29.4" customHeight="1" thickTop="1" thickBot="1" x14ac:dyDescent="0.3">
      <c r="B32" s="102" t="s">
        <v>12</v>
      </c>
      <c r="C32" s="102"/>
      <c r="D32" s="102"/>
      <c r="E32" s="102"/>
      <c r="F32" s="102"/>
      <c r="G32" s="103">
        <f>SUM(H6:H31)</f>
        <v>199090000</v>
      </c>
      <c r="H32" s="104"/>
      <c r="I32" s="104"/>
      <c r="J32" s="105"/>
      <c r="K32" s="106"/>
      <c r="L32" s="107"/>
      <c r="M32" s="107"/>
      <c r="N32" s="108"/>
    </row>
    <row r="33" spans="2:14" s="1" customFormat="1" ht="29.4" customHeight="1" thickBot="1" x14ac:dyDescent="0.3">
      <c r="B33" s="100" t="s">
        <v>13</v>
      </c>
      <c r="C33" s="100"/>
      <c r="D33" s="100"/>
      <c r="E33" s="100"/>
      <c r="F33" s="100"/>
      <c r="G33" s="109"/>
      <c r="H33" s="110"/>
      <c r="I33" s="110"/>
      <c r="J33" s="111"/>
      <c r="K33" s="97"/>
      <c r="L33" s="98"/>
      <c r="M33" s="98"/>
      <c r="N33" s="99"/>
    </row>
    <row r="34" spans="2:14" ht="82.2" customHeight="1" thickBot="1" x14ac:dyDescent="0.3">
      <c r="B34" s="101" t="s">
        <v>14</v>
      </c>
      <c r="C34" s="101"/>
      <c r="D34" s="101"/>
      <c r="E34" s="101"/>
      <c r="F34" s="101" t="s">
        <v>15</v>
      </c>
      <c r="G34" s="101"/>
      <c r="H34" s="101" t="s">
        <v>16</v>
      </c>
      <c r="I34" s="101"/>
      <c r="J34" s="101" t="s">
        <v>17</v>
      </c>
      <c r="K34" s="101"/>
      <c r="L34" s="101"/>
      <c r="M34" s="101"/>
      <c r="N34" s="101"/>
    </row>
  </sheetData>
  <mergeCells count="126">
    <mergeCell ref="B34:E34"/>
    <mergeCell ref="F34:G34"/>
    <mergeCell ref="H34:I34"/>
    <mergeCell ref="J34:N34"/>
    <mergeCell ref="B32:F32"/>
    <mergeCell ref="G32:J32"/>
    <mergeCell ref="K32:N32"/>
    <mergeCell ref="B33:F33"/>
    <mergeCell ref="G33:J33"/>
    <mergeCell ref="K33:N33"/>
    <mergeCell ref="C29:E29"/>
    <mergeCell ref="F29:G29"/>
    <mergeCell ref="I29:J29"/>
    <mergeCell ref="K29:N29"/>
    <mergeCell ref="C31:E31"/>
    <mergeCell ref="F31:G31"/>
    <mergeCell ref="I31:J31"/>
    <mergeCell ref="C27:E27"/>
    <mergeCell ref="F27:G27"/>
    <mergeCell ref="I27:J27"/>
    <mergeCell ref="K27:N27"/>
    <mergeCell ref="C28:E28"/>
    <mergeCell ref="F28:G28"/>
    <mergeCell ref="I28:J28"/>
    <mergeCell ref="K28:N28"/>
    <mergeCell ref="F30:G30"/>
    <mergeCell ref="I30:J30"/>
    <mergeCell ref="K30:N30"/>
    <mergeCell ref="K31:N31"/>
    <mergeCell ref="C30:E30"/>
    <mergeCell ref="C25:E25"/>
    <mergeCell ref="F25:G25"/>
    <mergeCell ref="I25:J25"/>
    <mergeCell ref="K25:N25"/>
    <mergeCell ref="C26:E26"/>
    <mergeCell ref="F26:G26"/>
    <mergeCell ref="I26:J26"/>
    <mergeCell ref="K26:N26"/>
    <mergeCell ref="C23:E23"/>
    <mergeCell ref="F23:G23"/>
    <mergeCell ref="I23:J23"/>
    <mergeCell ref="K23:N23"/>
    <mergeCell ref="C24:E24"/>
    <mergeCell ref="F24:G24"/>
    <mergeCell ref="I24:J24"/>
    <mergeCell ref="K24:N24"/>
    <mergeCell ref="C21:E21"/>
    <mergeCell ref="F21:G21"/>
    <mergeCell ref="I21:J21"/>
    <mergeCell ref="K21:N21"/>
    <mergeCell ref="C22:E22"/>
    <mergeCell ref="F22:G22"/>
    <mergeCell ref="I22:J22"/>
    <mergeCell ref="K22:N22"/>
    <mergeCell ref="C19:E19"/>
    <mergeCell ref="F19:G19"/>
    <mergeCell ref="I19:J19"/>
    <mergeCell ref="K19:N19"/>
    <mergeCell ref="C20:E20"/>
    <mergeCell ref="F20:G20"/>
    <mergeCell ref="I20:J20"/>
    <mergeCell ref="K20:N20"/>
    <mergeCell ref="C17:E17"/>
    <mergeCell ref="F17:G17"/>
    <mergeCell ref="I17:J17"/>
    <mergeCell ref="K17:N17"/>
    <mergeCell ref="C18:E18"/>
    <mergeCell ref="F18:G18"/>
    <mergeCell ref="I18:J18"/>
    <mergeCell ref="K18:N18"/>
    <mergeCell ref="C15:E15"/>
    <mergeCell ref="F15:G15"/>
    <mergeCell ref="I15:J15"/>
    <mergeCell ref="K15:N15"/>
    <mergeCell ref="C16:E16"/>
    <mergeCell ref="F16:G16"/>
    <mergeCell ref="I16:J16"/>
    <mergeCell ref="K16:N16"/>
    <mergeCell ref="C13:E13"/>
    <mergeCell ref="F13:G13"/>
    <mergeCell ref="I13:J13"/>
    <mergeCell ref="K13:N13"/>
    <mergeCell ref="C14:E14"/>
    <mergeCell ref="F14:G14"/>
    <mergeCell ref="I14:J14"/>
    <mergeCell ref="K14:N14"/>
    <mergeCell ref="C11:E11"/>
    <mergeCell ref="F11:G11"/>
    <mergeCell ref="I11:J11"/>
    <mergeCell ref="K11:N11"/>
    <mergeCell ref="C12:E12"/>
    <mergeCell ref="F12:G12"/>
    <mergeCell ref="I12:J12"/>
    <mergeCell ref="K12:N12"/>
    <mergeCell ref="C9:E9"/>
    <mergeCell ref="F9:G9"/>
    <mergeCell ref="I9:J9"/>
    <mergeCell ref="K9:N9"/>
    <mergeCell ref="C10:E10"/>
    <mergeCell ref="F10:G10"/>
    <mergeCell ref="I10:J10"/>
    <mergeCell ref="K10:N10"/>
    <mergeCell ref="C7:E7"/>
    <mergeCell ref="F7:G7"/>
    <mergeCell ref="I7:J7"/>
    <mergeCell ref="K7:N7"/>
    <mergeCell ref="C8:E8"/>
    <mergeCell ref="F8:G8"/>
    <mergeCell ref="I8:J8"/>
    <mergeCell ref="K8:N8"/>
    <mergeCell ref="C5:E5"/>
    <mergeCell ref="F5:G5"/>
    <mergeCell ref="I5:J5"/>
    <mergeCell ref="K5:N5"/>
    <mergeCell ref="C6:E6"/>
    <mergeCell ref="F6:G6"/>
    <mergeCell ref="I6:J6"/>
    <mergeCell ref="K6:N6"/>
    <mergeCell ref="B2:E3"/>
    <mergeCell ref="F2:H3"/>
    <mergeCell ref="J2:K2"/>
    <mergeCell ref="M2:N2"/>
    <mergeCell ref="J3:N3"/>
    <mergeCell ref="B4:D4"/>
    <mergeCell ref="E4:F4"/>
    <mergeCell ref="J4:N4"/>
  </mergeCells>
  <printOptions horizontalCentered="1" verticalCentered="1"/>
  <pageMargins left="0" right="0.23622047244094491" top="0" bottom="0.17" header="0" footer="0.4"/>
  <pageSetup paperSize="9" scale="71" orientation="portrait" r:id="rId1"/>
  <colBreaks count="2" manualBreakCount="2">
    <brk id="1" max="1048575" man="1"/>
    <brk id="10" min="1" max="32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/>
    <pageSetUpPr fitToPage="1"/>
  </sheetPr>
  <dimension ref="B1:N33"/>
  <sheetViews>
    <sheetView rightToLeft="1" showWhiteSpace="0" zoomScale="55" zoomScaleNormal="55" zoomScalePageLayoutView="40" workbookViewId="0">
      <selection activeCell="T1" sqref="T1:V1048576"/>
    </sheetView>
  </sheetViews>
  <sheetFormatPr defaultRowHeight="13.8" x14ac:dyDescent="0.25"/>
  <cols>
    <col min="2" max="2" width="5.5" customWidth="1"/>
    <col min="3" max="3" width="4.19921875" customWidth="1"/>
    <col min="4" max="4" width="7.19921875" customWidth="1"/>
    <col min="5" max="5" width="4" customWidth="1"/>
    <col min="6" max="6" width="15.59765625" customWidth="1"/>
    <col min="7" max="7" width="17.09765625" customWidth="1"/>
    <col min="8" max="8" width="19.69921875" customWidth="1"/>
    <col min="9" max="9" width="12.5" bestFit="1" customWidth="1"/>
    <col min="10" max="10" width="4.69921875" customWidth="1"/>
    <col min="11" max="11" width="13.5" customWidth="1"/>
    <col min="12" max="13" width="9.5" customWidth="1"/>
    <col min="14" max="14" width="5.09765625" customWidth="1"/>
  </cols>
  <sheetData>
    <row r="1" spans="2:14" ht="14.4" thickBot="1" x14ac:dyDescent="0.3"/>
    <row r="2" spans="2:14" ht="24.6" customHeight="1" thickBot="1" x14ac:dyDescent="0.8">
      <c r="B2" s="81"/>
      <c r="C2" s="81"/>
      <c r="D2" s="81"/>
      <c r="E2" s="81"/>
      <c r="F2" s="82" t="s">
        <v>18</v>
      </c>
      <c r="G2" s="82"/>
      <c r="H2" s="82"/>
      <c r="I2" s="50" t="s">
        <v>0</v>
      </c>
      <c r="J2" s="83"/>
      <c r="K2" s="84"/>
      <c r="L2" s="50" t="s">
        <v>1</v>
      </c>
      <c r="M2" s="83"/>
      <c r="N2" s="84"/>
    </row>
    <row r="3" spans="2:14" ht="34.950000000000003" customHeight="1" thickBot="1" x14ac:dyDescent="0.3">
      <c r="B3" s="81"/>
      <c r="C3" s="81"/>
      <c r="D3" s="81"/>
      <c r="E3" s="81"/>
      <c r="F3" s="82"/>
      <c r="G3" s="82"/>
      <c r="H3" s="82"/>
      <c r="I3" s="9" t="s">
        <v>4</v>
      </c>
      <c r="J3" s="85"/>
      <c r="K3" s="85"/>
      <c r="L3" s="85"/>
      <c r="M3" s="85"/>
      <c r="N3" s="86"/>
    </row>
    <row r="4" spans="2:14" ht="24" thickBot="1" x14ac:dyDescent="0.8">
      <c r="B4" s="87" t="s">
        <v>2</v>
      </c>
      <c r="C4" s="87"/>
      <c r="D4" s="88"/>
      <c r="E4" s="84"/>
      <c r="F4" s="89"/>
      <c r="G4" s="50" t="s">
        <v>3</v>
      </c>
      <c r="H4" s="2"/>
      <c r="I4" s="50" t="s">
        <v>5</v>
      </c>
      <c r="J4" s="83"/>
      <c r="K4" s="83"/>
      <c r="L4" s="83"/>
      <c r="M4" s="83"/>
      <c r="N4" s="84"/>
    </row>
    <row r="5" spans="2:14" s="1" customFormat="1" ht="29.4" customHeight="1" thickBot="1" x14ac:dyDescent="0.3">
      <c r="B5" s="46" t="s">
        <v>6</v>
      </c>
      <c r="C5" s="100" t="s">
        <v>7</v>
      </c>
      <c r="D5" s="100"/>
      <c r="E5" s="100"/>
      <c r="F5" s="100" t="s">
        <v>8</v>
      </c>
      <c r="G5" s="100"/>
      <c r="H5" s="46" t="s">
        <v>9</v>
      </c>
      <c r="I5" s="97" t="s">
        <v>10</v>
      </c>
      <c r="J5" s="99"/>
      <c r="K5" s="97" t="s">
        <v>11</v>
      </c>
      <c r="L5" s="98"/>
      <c r="M5" s="98"/>
      <c r="N5" s="99"/>
    </row>
    <row r="6" spans="2:14" ht="27.6" thickBot="1" x14ac:dyDescent="1.05">
      <c r="B6" s="6">
        <v>1</v>
      </c>
      <c r="C6" s="90">
        <v>45039</v>
      </c>
      <c r="D6" s="91"/>
      <c r="E6" s="92"/>
      <c r="F6" s="93" t="s">
        <v>198</v>
      </c>
      <c r="G6" s="93"/>
      <c r="H6" s="4">
        <v>2000000</v>
      </c>
      <c r="I6" s="94">
        <v>341</v>
      </c>
      <c r="J6" s="95"/>
      <c r="K6" s="94"/>
      <c r="L6" s="96"/>
      <c r="M6" s="96"/>
      <c r="N6" s="95"/>
    </row>
    <row r="7" spans="2:14" ht="27.6" thickBot="1" x14ac:dyDescent="1.05">
      <c r="B7" s="6">
        <v>2</v>
      </c>
      <c r="C7" s="90">
        <v>45040</v>
      </c>
      <c r="D7" s="91"/>
      <c r="E7" s="92"/>
      <c r="F7" s="93" t="s">
        <v>199</v>
      </c>
      <c r="G7" s="93"/>
      <c r="H7" s="4">
        <f>10000000+20000000</f>
        <v>30000000</v>
      </c>
      <c r="I7" s="94">
        <v>342</v>
      </c>
      <c r="J7" s="95"/>
      <c r="K7" s="94"/>
      <c r="L7" s="96"/>
      <c r="M7" s="96"/>
      <c r="N7" s="95"/>
    </row>
    <row r="8" spans="2:14" ht="27.6" thickBot="1" x14ac:dyDescent="1.05">
      <c r="B8" s="6">
        <v>3</v>
      </c>
      <c r="C8" s="90">
        <v>45041</v>
      </c>
      <c r="D8" s="91"/>
      <c r="E8" s="92"/>
      <c r="F8" s="93" t="s">
        <v>135</v>
      </c>
      <c r="G8" s="93"/>
      <c r="H8" s="4">
        <v>4000000</v>
      </c>
      <c r="I8" s="94">
        <v>343</v>
      </c>
      <c r="J8" s="95"/>
      <c r="K8" s="94"/>
      <c r="L8" s="96"/>
      <c r="M8" s="96"/>
      <c r="N8" s="95"/>
    </row>
    <row r="9" spans="2:14" s="1" customFormat="1" ht="27.6" thickBot="1" x14ac:dyDescent="0.35">
      <c r="B9" s="14">
        <v>4</v>
      </c>
      <c r="C9" s="90">
        <v>45041</v>
      </c>
      <c r="D9" s="91"/>
      <c r="E9" s="92"/>
      <c r="F9" s="115" t="s">
        <v>135</v>
      </c>
      <c r="G9" s="115"/>
      <c r="H9" s="4">
        <v>4000000</v>
      </c>
      <c r="I9" s="94">
        <v>344</v>
      </c>
      <c r="J9" s="95"/>
      <c r="K9" s="97"/>
      <c r="L9" s="98"/>
      <c r="M9" s="98"/>
      <c r="N9" s="99"/>
    </row>
    <row r="10" spans="2:14" ht="27.6" thickBot="1" x14ac:dyDescent="1.05">
      <c r="B10" s="6">
        <v>5</v>
      </c>
      <c r="C10" s="90">
        <v>45041</v>
      </c>
      <c r="D10" s="91"/>
      <c r="E10" s="92"/>
      <c r="F10" s="93" t="s">
        <v>110</v>
      </c>
      <c r="G10" s="93"/>
      <c r="H10" s="4">
        <v>1000000</v>
      </c>
      <c r="I10" s="94">
        <v>345</v>
      </c>
      <c r="J10" s="95"/>
      <c r="K10" s="94"/>
      <c r="L10" s="96"/>
      <c r="M10" s="96"/>
      <c r="N10" s="95"/>
    </row>
    <row r="11" spans="2:14" ht="27.6" thickBot="1" x14ac:dyDescent="1.05">
      <c r="B11" s="6">
        <v>6</v>
      </c>
      <c r="C11" s="90">
        <v>45042</v>
      </c>
      <c r="D11" s="91"/>
      <c r="E11" s="92"/>
      <c r="F11" s="93" t="s">
        <v>135</v>
      </c>
      <c r="G11" s="93"/>
      <c r="H11" s="4">
        <v>4000000</v>
      </c>
      <c r="I11" s="94">
        <v>346</v>
      </c>
      <c r="J11" s="95"/>
      <c r="K11" s="94"/>
      <c r="L11" s="96"/>
      <c r="M11" s="96"/>
      <c r="N11" s="95"/>
    </row>
    <row r="12" spans="2:14" ht="27.6" thickBot="1" x14ac:dyDescent="1.05">
      <c r="B12" s="6">
        <v>7</v>
      </c>
      <c r="C12" s="90">
        <v>45042</v>
      </c>
      <c r="D12" s="91"/>
      <c r="E12" s="92"/>
      <c r="F12" s="93" t="s">
        <v>135</v>
      </c>
      <c r="G12" s="93"/>
      <c r="H12" s="4">
        <v>4000000</v>
      </c>
      <c r="I12" s="94">
        <v>347</v>
      </c>
      <c r="J12" s="95"/>
      <c r="K12" s="94"/>
      <c r="L12" s="96"/>
      <c r="M12" s="96"/>
      <c r="N12" s="95"/>
    </row>
    <row r="13" spans="2:14" ht="27.6" thickBot="1" x14ac:dyDescent="1.05">
      <c r="B13" s="6">
        <v>8</v>
      </c>
      <c r="C13" s="90">
        <v>45042</v>
      </c>
      <c r="D13" s="91"/>
      <c r="E13" s="92"/>
      <c r="F13" s="93" t="s">
        <v>200</v>
      </c>
      <c r="G13" s="93"/>
      <c r="H13" s="4">
        <v>2000000</v>
      </c>
      <c r="I13" s="94">
        <v>348</v>
      </c>
      <c r="J13" s="95"/>
      <c r="K13" s="94"/>
      <c r="L13" s="96"/>
      <c r="M13" s="96"/>
      <c r="N13" s="95"/>
    </row>
    <row r="14" spans="2:14" ht="27.6" thickBot="1" x14ac:dyDescent="1.05">
      <c r="B14" s="6">
        <v>9</v>
      </c>
      <c r="C14" s="90">
        <v>45043</v>
      </c>
      <c r="D14" s="91"/>
      <c r="E14" s="92"/>
      <c r="F14" s="93" t="s">
        <v>175</v>
      </c>
      <c r="G14" s="93"/>
      <c r="H14" s="4">
        <v>11232000</v>
      </c>
      <c r="I14" s="94">
        <v>349</v>
      </c>
      <c r="J14" s="95"/>
      <c r="K14" s="94"/>
      <c r="L14" s="96"/>
      <c r="M14" s="96"/>
      <c r="N14" s="95"/>
    </row>
    <row r="15" spans="2:14" ht="27.6" thickBot="1" x14ac:dyDescent="1.05">
      <c r="B15" s="6">
        <v>10</v>
      </c>
      <c r="C15" s="90">
        <v>45043</v>
      </c>
      <c r="D15" s="91"/>
      <c r="E15" s="92"/>
      <c r="F15" s="93" t="s">
        <v>201</v>
      </c>
      <c r="G15" s="93"/>
      <c r="H15" s="4">
        <v>3000000</v>
      </c>
      <c r="I15" s="94">
        <v>350</v>
      </c>
      <c r="J15" s="95"/>
      <c r="K15" s="94"/>
      <c r="L15" s="96"/>
      <c r="M15" s="96"/>
      <c r="N15" s="95"/>
    </row>
    <row r="16" spans="2:14" ht="27.6" thickBot="1" x14ac:dyDescent="1.05">
      <c r="B16" s="6">
        <v>11</v>
      </c>
      <c r="C16" s="90">
        <v>45043</v>
      </c>
      <c r="D16" s="91"/>
      <c r="E16" s="92"/>
      <c r="F16" s="93" t="s">
        <v>202</v>
      </c>
      <c r="G16" s="93"/>
      <c r="H16" s="4">
        <v>23000000</v>
      </c>
      <c r="I16" s="94">
        <v>351</v>
      </c>
      <c r="J16" s="95"/>
      <c r="K16" s="94"/>
      <c r="L16" s="96"/>
      <c r="M16" s="96"/>
      <c r="N16" s="95"/>
    </row>
    <row r="17" spans="2:14" ht="27.6" thickBot="1" x14ac:dyDescent="1.05">
      <c r="B17" s="6">
        <v>12</v>
      </c>
      <c r="C17" s="90">
        <v>45044</v>
      </c>
      <c r="D17" s="91"/>
      <c r="E17" s="92"/>
      <c r="F17" s="93" t="s">
        <v>110</v>
      </c>
      <c r="G17" s="93"/>
      <c r="H17" s="4">
        <v>3000000</v>
      </c>
      <c r="I17" s="94">
        <v>352</v>
      </c>
      <c r="J17" s="95"/>
      <c r="K17" s="94"/>
      <c r="L17" s="96"/>
      <c r="M17" s="96"/>
      <c r="N17" s="95"/>
    </row>
    <row r="18" spans="2:14" ht="27.6" thickBot="1" x14ac:dyDescent="1.05">
      <c r="B18" s="6">
        <v>13</v>
      </c>
      <c r="C18" s="90">
        <v>45045</v>
      </c>
      <c r="D18" s="91"/>
      <c r="E18" s="92"/>
      <c r="F18" s="93" t="s">
        <v>41</v>
      </c>
      <c r="G18" s="93"/>
      <c r="H18" s="4">
        <v>1590000</v>
      </c>
      <c r="I18" s="94">
        <v>353</v>
      </c>
      <c r="J18" s="95"/>
      <c r="K18" s="94"/>
      <c r="L18" s="96"/>
      <c r="M18" s="96"/>
      <c r="N18" s="95"/>
    </row>
    <row r="19" spans="2:14" ht="27.6" thickBot="1" x14ac:dyDescent="1.05">
      <c r="B19" s="6">
        <v>14</v>
      </c>
      <c r="C19" s="90">
        <v>45046</v>
      </c>
      <c r="D19" s="91"/>
      <c r="E19" s="92"/>
      <c r="F19" s="93" t="s">
        <v>203</v>
      </c>
      <c r="G19" s="93"/>
      <c r="H19" s="4">
        <v>12500000</v>
      </c>
      <c r="I19" s="94">
        <v>354</v>
      </c>
      <c r="J19" s="95"/>
      <c r="K19" s="94"/>
      <c r="L19" s="96"/>
      <c r="M19" s="96"/>
      <c r="N19" s="95"/>
    </row>
    <row r="20" spans="2:14" ht="27.6" thickBot="1" x14ac:dyDescent="1.05">
      <c r="B20" s="6">
        <v>15</v>
      </c>
      <c r="C20" s="90">
        <v>45039</v>
      </c>
      <c r="D20" s="91"/>
      <c r="E20" s="92"/>
      <c r="F20" s="93" t="s">
        <v>21</v>
      </c>
      <c r="G20" s="93"/>
      <c r="H20" s="4">
        <v>1440000</v>
      </c>
      <c r="I20" s="94">
        <v>355</v>
      </c>
      <c r="J20" s="95"/>
      <c r="K20" s="94"/>
      <c r="L20" s="96"/>
      <c r="M20" s="96"/>
      <c r="N20" s="95"/>
    </row>
    <row r="21" spans="2:14" ht="27.6" thickBot="1" x14ac:dyDescent="1.05">
      <c r="B21" s="6">
        <v>16</v>
      </c>
      <c r="C21" s="90">
        <v>45039</v>
      </c>
      <c r="D21" s="91"/>
      <c r="E21" s="92"/>
      <c r="F21" s="93" t="s">
        <v>52</v>
      </c>
      <c r="G21" s="93"/>
      <c r="H21" s="4">
        <v>1600000</v>
      </c>
      <c r="I21" s="94">
        <v>356</v>
      </c>
      <c r="J21" s="95"/>
      <c r="K21" s="94"/>
      <c r="L21" s="96"/>
      <c r="M21" s="96"/>
      <c r="N21" s="95"/>
    </row>
    <row r="22" spans="2:14" ht="27.6" thickBot="1" x14ac:dyDescent="1.05">
      <c r="B22" s="6">
        <v>17</v>
      </c>
      <c r="C22" s="90">
        <v>45040</v>
      </c>
      <c r="D22" s="91"/>
      <c r="E22" s="92"/>
      <c r="F22" s="93" t="s">
        <v>204</v>
      </c>
      <c r="G22" s="93"/>
      <c r="H22" s="4">
        <v>2600000</v>
      </c>
      <c r="I22" s="94">
        <v>357</v>
      </c>
      <c r="J22" s="95"/>
      <c r="K22" s="94"/>
      <c r="L22" s="96"/>
      <c r="M22" s="96"/>
      <c r="N22" s="95"/>
    </row>
    <row r="23" spans="2:14" ht="27.6" thickBot="1" x14ac:dyDescent="1.05">
      <c r="B23" s="6">
        <v>18</v>
      </c>
      <c r="C23" s="90">
        <v>45040</v>
      </c>
      <c r="D23" s="91"/>
      <c r="E23" s="92"/>
      <c r="F23" s="93" t="s">
        <v>205</v>
      </c>
      <c r="G23" s="93"/>
      <c r="H23" s="4">
        <v>5140000</v>
      </c>
      <c r="I23" s="94">
        <v>358</v>
      </c>
      <c r="J23" s="95"/>
      <c r="K23" s="94"/>
      <c r="L23" s="96"/>
      <c r="M23" s="96"/>
      <c r="N23" s="95"/>
    </row>
    <row r="24" spans="2:14" ht="27.6" thickBot="1" x14ac:dyDescent="1.05">
      <c r="B24" s="6">
        <v>19</v>
      </c>
      <c r="C24" s="90">
        <v>45041</v>
      </c>
      <c r="D24" s="91"/>
      <c r="E24" s="92"/>
      <c r="F24" s="93" t="s">
        <v>206</v>
      </c>
      <c r="G24" s="93"/>
      <c r="H24" s="4">
        <v>2200000</v>
      </c>
      <c r="I24" s="94">
        <v>359</v>
      </c>
      <c r="J24" s="95"/>
      <c r="K24" s="94"/>
      <c r="L24" s="96"/>
      <c r="M24" s="96"/>
      <c r="N24" s="95"/>
    </row>
    <row r="25" spans="2:14" ht="27.6" thickBot="1" x14ac:dyDescent="1.05">
      <c r="B25" s="6">
        <v>20</v>
      </c>
      <c r="C25" s="90">
        <v>45041</v>
      </c>
      <c r="D25" s="91"/>
      <c r="E25" s="92"/>
      <c r="F25" s="93" t="s">
        <v>207</v>
      </c>
      <c r="G25" s="93"/>
      <c r="H25" s="4">
        <v>4740000</v>
      </c>
      <c r="I25" s="94">
        <v>360</v>
      </c>
      <c r="J25" s="95"/>
      <c r="K25" s="94"/>
      <c r="L25" s="96"/>
      <c r="M25" s="96"/>
      <c r="N25" s="95"/>
    </row>
    <row r="26" spans="2:14" ht="27.6" thickBot="1" x14ac:dyDescent="1.05">
      <c r="B26" s="6">
        <v>21</v>
      </c>
      <c r="C26" s="90">
        <v>45041</v>
      </c>
      <c r="D26" s="91"/>
      <c r="E26" s="92"/>
      <c r="F26" s="93" t="s">
        <v>59</v>
      </c>
      <c r="G26" s="93"/>
      <c r="H26" s="4">
        <v>1395000</v>
      </c>
      <c r="I26" s="94">
        <v>361</v>
      </c>
      <c r="J26" s="95"/>
      <c r="K26" s="94"/>
      <c r="L26" s="96"/>
      <c r="M26" s="96"/>
      <c r="N26" s="95"/>
    </row>
    <row r="27" spans="2:14" ht="27.6" thickBot="1" x14ac:dyDescent="1.05">
      <c r="B27" s="6">
        <v>22</v>
      </c>
      <c r="C27" s="90">
        <v>45041</v>
      </c>
      <c r="D27" s="91"/>
      <c r="E27" s="92"/>
      <c r="F27" s="93" t="s">
        <v>59</v>
      </c>
      <c r="G27" s="93"/>
      <c r="H27" s="4">
        <v>1395000</v>
      </c>
      <c r="I27" s="94">
        <v>362</v>
      </c>
      <c r="J27" s="95"/>
      <c r="K27" s="94"/>
      <c r="L27" s="96"/>
      <c r="M27" s="96"/>
      <c r="N27" s="95"/>
    </row>
    <row r="28" spans="2:14" ht="27.6" thickBot="1" x14ac:dyDescent="1.05">
      <c r="B28" s="6">
        <v>23</v>
      </c>
      <c r="C28" s="90">
        <v>45043</v>
      </c>
      <c r="D28" s="91"/>
      <c r="E28" s="92"/>
      <c r="F28" s="93" t="s">
        <v>208</v>
      </c>
      <c r="G28" s="93"/>
      <c r="H28" s="4">
        <v>250000</v>
      </c>
      <c r="I28" s="94">
        <v>363</v>
      </c>
      <c r="J28" s="95"/>
      <c r="K28" s="94"/>
      <c r="L28" s="96"/>
      <c r="M28" s="96"/>
      <c r="N28" s="95"/>
    </row>
    <row r="29" spans="2:14" ht="27.6" thickBot="1" x14ac:dyDescent="1.05">
      <c r="B29" s="6">
        <v>24</v>
      </c>
      <c r="C29" s="90">
        <v>45043</v>
      </c>
      <c r="D29" s="91"/>
      <c r="E29" s="92"/>
      <c r="F29" s="93" t="s">
        <v>59</v>
      </c>
      <c r="G29" s="93"/>
      <c r="H29" s="4">
        <v>7450000</v>
      </c>
      <c r="I29" s="94">
        <v>364</v>
      </c>
      <c r="J29" s="95"/>
      <c r="K29" s="94"/>
      <c r="L29" s="96"/>
      <c r="M29" s="96"/>
      <c r="N29" s="95"/>
    </row>
    <row r="30" spans="2:14" ht="27.6" thickBot="1" x14ac:dyDescent="1.05">
      <c r="B30" s="6">
        <v>25</v>
      </c>
      <c r="C30" s="90">
        <v>45046</v>
      </c>
      <c r="D30" s="91"/>
      <c r="E30" s="92"/>
      <c r="F30" s="94" t="s">
        <v>209</v>
      </c>
      <c r="G30" s="95"/>
      <c r="H30" s="4">
        <v>1900000</v>
      </c>
      <c r="I30" s="94">
        <v>365</v>
      </c>
      <c r="J30" s="95"/>
      <c r="K30" s="47"/>
      <c r="L30" s="49"/>
      <c r="M30" s="49"/>
      <c r="N30" s="48"/>
    </row>
    <row r="31" spans="2:14" s="1" customFormat="1" ht="29.4" customHeight="1" thickTop="1" thickBot="1" x14ac:dyDescent="0.3">
      <c r="B31" s="102" t="s">
        <v>12</v>
      </c>
      <c r="C31" s="102"/>
      <c r="D31" s="102"/>
      <c r="E31" s="102"/>
      <c r="F31" s="102"/>
      <c r="G31" s="103">
        <f>SUM(H6:H30)</f>
        <v>135432000</v>
      </c>
      <c r="H31" s="104"/>
      <c r="I31" s="104"/>
      <c r="J31" s="105"/>
      <c r="K31" s="106"/>
      <c r="L31" s="107"/>
      <c r="M31" s="107"/>
      <c r="N31" s="108"/>
    </row>
    <row r="32" spans="2:14" s="1" customFormat="1" ht="29.4" customHeight="1" thickBot="1" x14ac:dyDescent="0.3">
      <c r="B32" s="100" t="s">
        <v>13</v>
      </c>
      <c r="C32" s="100"/>
      <c r="D32" s="100"/>
      <c r="E32" s="100"/>
      <c r="F32" s="100"/>
      <c r="G32" s="109"/>
      <c r="H32" s="110"/>
      <c r="I32" s="110"/>
      <c r="J32" s="111"/>
      <c r="K32" s="97"/>
      <c r="L32" s="98"/>
      <c r="M32" s="98"/>
      <c r="N32" s="99"/>
    </row>
    <row r="33" spans="2:14" ht="82.2" customHeight="1" thickBot="1" x14ac:dyDescent="0.3">
      <c r="B33" s="101" t="s">
        <v>14</v>
      </c>
      <c r="C33" s="101"/>
      <c r="D33" s="101"/>
      <c r="E33" s="101"/>
      <c r="F33" s="101" t="s">
        <v>15</v>
      </c>
      <c r="G33" s="101"/>
      <c r="H33" s="101" t="s">
        <v>16</v>
      </c>
      <c r="I33" s="101"/>
      <c r="J33" s="101" t="s">
        <v>17</v>
      </c>
      <c r="K33" s="101"/>
      <c r="L33" s="101"/>
      <c r="M33" s="101"/>
      <c r="N33" s="101"/>
    </row>
  </sheetData>
  <mergeCells count="121">
    <mergeCell ref="C5:E5"/>
    <mergeCell ref="F5:G5"/>
    <mergeCell ref="I5:J5"/>
    <mergeCell ref="K5:N5"/>
    <mergeCell ref="C6:E6"/>
    <mergeCell ref="F6:G6"/>
    <mergeCell ref="I6:J6"/>
    <mergeCell ref="K6:N6"/>
    <mergeCell ref="B2:E3"/>
    <mergeCell ref="F2:H3"/>
    <mergeCell ref="J2:K2"/>
    <mergeCell ref="M2:N2"/>
    <mergeCell ref="J3:N3"/>
    <mergeCell ref="B4:D4"/>
    <mergeCell ref="E4:F4"/>
    <mergeCell ref="J4:N4"/>
    <mergeCell ref="C9:E9"/>
    <mergeCell ref="F9:G9"/>
    <mergeCell ref="I9:J9"/>
    <mergeCell ref="K9:N9"/>
    <mergeCell ref="C10:E10"/>
    <mergeCell ref="F10:G10"/>
    <mergeCell ref="I10:J10"/>
    <mergeCell ref="K10:N10"/>
    <mergeCell ref="C7:E7"/>
    <mergeCell ref="F7:G7"/>
    <mergeCell ref="I7:J7"/>
    <mergeCell ref="K7:N7"/>
    <mergeCell ref="C8:E8"/>
    <mergeCell ref="F8:G8"/>
    <mergeCell ref="I8:J8"/>
    <mergeCell ref="K8:N8"/>
    <mergeCell ref="C13:E13"/>
    <mergeCell ref="F13:G13"/>
    <mergeCell ref="I13:J13"/>
    <mergeCell ref="K13:N13"/>
    <mergeCell ref="C14:E14"/>
    <mergeCell ref="F14:G14"/>
    <mergeCell ref="I14:J14"/>
    <mergeCell ref="K14:N14"/>
    <mergeCell ref="C11:E11"/>
    <mergeCell ref="F11:G11"/>
    <mergeCell ref="I11:J11"/>
    <mergeCell ref="K11:N11"/>
    <mergeCell ref="C12:E12"/>
    <mergeCell ref="F12:G12"/>
    <mergeCell ref="I12:J12"/>
    <mergeCell ref="K12:N12"/>
    <mergeCell ref="C17:E17"/>
    <mergeCell ref="F17:G17"/>
    <mergeCell ref="I17:J17"/>
    <mergeCell ref="K17:N17"/>
    <mergeCell ref="C18:E18"/>
    <mergeCell ref="F18:G18"/>
    <mergeCell ref="I18:J18"/>
    <mergeCell ref="K18:N18"/>
    <mergeCell ref="C15:E15"/>
    <mergeCell ref="F15:G15"/>
    <mergeCell ref="I15:J15"/>
    <mergeCell ref="K15:N15"/>
    <mergeCell ref="C16:E16"/>
    <mergeCell ref="F16:G16"/>
    <mergeCell ref="I16:J16"/>
    <mergeCell ref="K16:N16"/>
    <mergeCell ref="C21:E21"/>
    <mergeCell ref="F21:G21"/>
    <mergeCell ref="I21:J21"/>
    <mergeCell ref="K21:N21"/>
    <mergeCell ref="C22:E22"/>
    <mergeCell ref="F22:G22"/>
    <mergeCell ref="I22:J22"/>
    <mergeCell ref="K22:N22"/>
    <mergeCell ref="C19:E19"/>
    <mergeCell ref="F19:G19"/>
    <mergeCell ref="I19:J19"/>
    <mergeCell ref="K19:N19"/>
    <mergeCell ref="C20:E20"/>
    <mergeCell ref="F20:G20"/>
    <mergeCell ref="I20:J20"/>
    <mergeCell ref="K20:N20"/>
    <mergeCell ref="C25:E25"/>
    <mergeCell ref="F25:G25"/>
    <mergeCell ref="I25:J25"/>
    <mergeCell ref="K25:N25"/>
    <mergeCell ref="C26:E26"/>
    <mergeCell ref="F26:G26"/>
    <mergeCell ref="I26:J26"/>
    <mergeCell ref="K26:N26"/>
    <mergeCell ref="C23:E23"/>
    <mergeCell ref="F23:G23"/>
    <mergeCell ref="I23:J23"/>
    <mergeCell ref="K23:N23"/>
    <mergeCell ref="C24:E24"/>
    <mergeCell ref="F24:G24"/>
    <mergeCell ref="I24:J24"/>
    <mergeCell ref="K24:N24"/>
    <mergeCell ref="C29:E29"/>
    <mergeCell ref="F29:G29"/>
    <mergeCell ref="I29:J29"/>
    <mergeCell ref="K29:N29"/>
    <mergeCell ref="C30:E30"/>
    <mergeCell ref="F30:G30"/>
    <mergeCell ref="I30:J30"/>
    <mergeCell ref="C27:E27"/>
    <mergeCell ref="F27:G27"/>
    <mergeCell ref="I27:J27"/>
    <mergeCell ref="K27:N27"/>
    <mergeCell ref="C28:E28"/>
    <mergeCell ref="F28:G28"/>
    <mergeCell ref="I28:J28"/>
    <mergeCell ref="K28:N28"/>
    <mergeCell ref="B33:E33"/>
    <mergeCell ref="F33:G33"/>
    <mergeCell ref="H33:I33"/>
    <mergeCell ref="J33:N33"/>
    <mergeCell ref="B31:F31"/>
    <mergeCell ref="G31:J31"/>
    <mergeCell ref="K31:N31"/>
    <mergeCell ref="B32:F32"/>
    <mergeCell ref="G32:J32"/>
    <mergeCell ref="K32:N32"/>
  </mergeCells>
  <printOptions horizontalCentered="1" verticalCentered="1"/>
  <pageMargins left="0" right="0.23622047244094491" top="0" bottom="0.17" header="0" footer="0.4"/>
  <pageSetup paperSize="9" scale="71" orientation="portrait" r:id="rId1"/>
  <colBreaks count="2" manualBreakCount="2">
    <brk id="1" max="1048575" man="1"/>
    <brk id="10" min="1" max="32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B1:N33"/>
  <sheetViews>
    <sheetView rightToLeft="1" showWhiteSpace="0" topLeftCell="D1" zoomScale="70" zoomScaleNormal="70" zoomScalePageLayoutView="40" workbookViewId="0">
      <selection activeCell="T1" sqref="T1:V1048576"/>
    </sheetView>
  </sheetViews>
  <sheetFormatPr defaultRowHeight="13.8" x14ac:dyDescent="0.25"/>
  <cols>
    <col min="2" max="2" width="5.5" customWidth="1"/>
    <col min="3" max="3" width="4.19921875" customWidth="1"/>
    <col min="4" max="4" width="7.19921875" customWidth="1"/>
    <col min="5" max="5" width="4" customWidth="1"/>
    <col min="6" max="6" width="15.59765625" customWidth="1"/>
    <col min="7" max="7" width="17.09765625" customWidth="1"/>
    <col min="8" max="8" width="19.69921875" customWidth="1"/>
    <col min="9" max="9" width="12.5" bestFit="1" customWidth="1"/>
    <col min="10" max="10" width="4.69921875" customWidth="1"/>
    <col min="11" max="11" width="13.5" customWidth="1"/>
    <col min="12" max="13" width="9.5" customWidth="1"/>
    <col min="14" max="14" width="5.09765625" customWidth="1"/>
  </cols>
  <sheetData>
    <row r="1" spans="2:14" ht="14.4" thickBot="1" x14ac:dyDescent="0.3"/>
    <row r="2" spans="2:14" ht="24.6" customHeight="1" thickBot="1" x14ac:dyDescent="0.8">
      <c r="B2" s="81"/>
      <c r="C2" s="81"/>
      <c r="D2" s="81"/>
      <c r="E2" s="81"/>
      <c r="F2" s="82" t="s">
        <v>18</v>
      </c>
      <c r="G2" s="82"/>
      <c r="H2" s="82"/>
      <c r="I2" s="50" t="s">
        <v>0</v>
      </c>
      <c r="J2" s="83"/>
      <c r="K2" s="84"/>
      <c r="L2" s="50" t="s">
        <v>1</v>
      </c>
      <c r="M2" s="83"/>
      <c r="N2" s="84"/>
    </row>
    <row r="3" spans="2:14" ht="34.950000000000003" customHeight="1" thickBot="1" x14ac:dyDescent="0.3">
      <c r="B3" s="81"/>
      <c r="C3" s="81"/>
      <c r="D3" s="81"/>
      <c r="E3" s="81"/>
      <c r="F3" s="82"/>
      <c r="G3" s="82"/>
      <c r="H3" s="82"/>
      <c r="I3" s="9" t="s">
        <v>4</v>
      </c>
      <c r="J3" s="85"/>
      <c r="K3" s="85"/>
      <c r="L3" s="85"/>
      <c r="M3" s="85"/>
      <c r="N3" s="86"/>
    </row>
    <row r="4" spans="2:14" ht="24" thickBot="1" x14ac:dyDescent="0.8">
      <c r="B4" s="87" t="s">
        <v>2</v>
      </c>
      <c r="C4" s="87"/>
      <c r="D4" s="88"/>
      <c r="E4" s="84"/>
      <c r="F4" s="89"/>
      <c r="G4" s="50" t="s">
        <v>3</v>
      </c>
      <c r="H4" s="2"/>
      <c r="I4" s="50" t="s">
        <v>5</v>
      </c>
      <c r="J4" s="83"/>
      <c r="K4" s="83"/>
      <c r="L4" s="83"/>
      <c r="M4" s="83"/>
      <c r="N4" s="84"/>
    </row>
    <row r="5" spans="2:14" s="1" customFormat="1" ht="29.4" customHeight="1" thickBot="1" x14ac:dyDescent="0.3">
      <c r="B5" s="46" t="s">
        <v>6</v>
      </c>
      <c r="C5" s="100" t="s">
        <v>7</v>
      </c>
      <c r="D5" s="100"/>
      <c r="E5" s="100"/>
      <c r="F5" s="100" t="s">
        <v>8</v>
      </c>
      <c r="G5" s="100"/>
      <c r="H5" s="46" t="s">
        <v>9</v>
      </c>
      <c r="I5" s="97" t="s">
        <v>10</v>
      </c>
      <c r="J5" s="99"/>
      <c r="K5" s="97" t="s">
        <v>11</v>
      </c>
      <c r="L5" s="98"/>
      <c r="M5" s="98"/>
      <c r="N5" s="99"/>
    </row>
    <row r="6" spans="2:14" ht="27.6" thickBot="1" x14ac:dyDescent="1.05">
      <c r="B6" s="6">
        <v>1</v>
      </c>
      <c r="C6" s="90">
        <v>45039</v>
      </c>
      <c r="D6" s="91"/>
      <c r="E6" s="92"/>
      <c r="F6" s="93" t="s">
        <v>189</v>
      </c>
      <c r="G6" s="93"/>
      <c r="H6" s="4">
        <v>1800000</v>
      </c>
      <c r="I6" s="94">
        <v>329</v>
      </c>
      <c r="J6" s="95"/>
      <c r="K6" s="94"/>
      <c r="L6" s="96"/>
      <c r="M6" s="96"/>
      <c r="N6" s="95"/>
    </row>
    <row r="7" spans="2:14" ht="27.6" thickBot="1" x14ac:dyDescent="1.05">
      <c r="B7" s="6">
        <v>2</v>
      </c>
      <c r="C7" s="90">
        <v>45035</v>
      </c>
      <c r="D7" s="91"/>
      <c r="E7" s="92"/>
      <c r="F7" s="93" t="s">
        <v>190</v>
      </c>
      <c r="G7" s="93"/>
      <c r="H7" s="4">
        <v>22400000</v>
      </c>
      <c r="I7" s="94">
        <v>330</v>
      </c>
      <c r="J7" s="95"/>
      <c r="K7" s="94"/>
      <c r="L7" s="96"/>
      <c r="M7" s="96"/>
      <c r="N7" s="95"/>
    </row>
    <row r="8" spans="2:14" ht="27.6" thickBot="1" x14ac:dyDescent="1.05">
      <c r="B8" s="6">
        <v>3</v>
      </c>
      <c r="C8" s="90">
        <v>45036</v>
      </c>
      <c r="D8" s="91"/>
      <c r="E8" s="92"/>
      <c r="F8" s="93" t="s">
        <v>191</v>
      </c>
      <c r="G8" s="93"/>
      <c r="H8" s="4">
        <v>14000000</v>
      </c>
      <c r="I8" s="94">
        <v>331</v>
      </c>
      <c r="J8" s="95"/>
      <c r="K8" s="94"/>
      <c r="L8" s="96"/>
      <c r="M8" s="96"/>
      <c r="N8" s="95"/>
    </row>
    <row r="9" spans="2:14" s="1" customFormat="1" ht="27.6" thickBot="1" x14ac:dyDescent="0.35">
      <c r="B9" s="14">
        <v>4</v>
      </c>
      <c r="C9" s="90">
        <v>45033</v>
      </c>
      <c r="D9" s="91"/>
      <c r="E9" s="92"/>
      <c r="F9" s="115" t="s">
        <v>192</v>
      </c>
      <c r="G9" s="115"/>
      <c r="H9" s="4">
        <v>18400000</v>
      </c>
      <c r="I9" s="94">
        <v>332</v>
      </c>
      <c r="J9" s="95"/>
      <c r="K9" s="97"/>
      <c r="L9" s="98"/>
      <c r="M9" s="98"/>
      <c r="N9" s="99"/>
    </row>
    <row r="10" spans="2:14" ht="27.6" thickBot="1" x14ac:dyDescent="1.05">
      <c r="B10" s="6">
        <v>5</v>
      </c>
      <c r="C10" s="90">
        <v>45033</v>
      </c>
      <c r="D10" s="91"/>
      <c r="E10" s="92"/>
      <c r="F10" s="93" t="s">
        <v>190</v>
      </c>
      <c r="G10" s="93"/>
      <c r="H10" s="4">
        <v>6300000</v>
      </c>
      <c r="I10" s="94">
        <v>333</v>
      </c>
      <c r="J10" s="95"/>
      <c r="K10" s="94"/>
      <c r="L10" s="96"/>
      <c r="M10" s="96"/>
      <c r="N10" s="95"/>
    </row>
    <row r="11" spans="2:14" ht="27.6" thickBot="1" x14ac:dyDescent="1.05">
      <c r="B11" s="6">
        <v>6</v>
      </c>
      <c r="C11" s="90">
        <v>45035</v>
      </c>
      <c r="D11" s="91"/>
      <c r="E11" s="92"/>
      <c r="F11" s="93" t="s">
        <v>193</v>
      </c>
      <c r="G11" s="93"/>
      <c r="H11" s="4">
        <v>2400000</v>
      </c>
      <c r="I11" s="94">
        <v>334</v>
      </c>
      <c r="J11" s="95"/>
      <c r="K11" s="94"/>
      <c r="L11" s="96"/>
      <c r="M11" s="96"/>
      <c r="N11" s="95"/>
    </row>
    <row r="12" spans="2:14" ht="27.6" thickBot="1" x14ac:dyDescent="1.05">
      <c r="B12" s="6">
        <v>7</v>
      </c>
      <c r="C12" s="90">
        <v>45034</v>
      </c>
      <c r="D12" s="91"/>
      <c r="E12" s="92"/>
      <c r="F12" s="93" t="s">
        <v>194</v>
      </c>
      <c r="G12" s="93"/>
      <c r="H12" s="4">
        <v>4300000</v>
      </c>
      <c r="I12" s="94">
        <v>335</v>
      </c>
      <c r="J12" s="95"/>
      <c r="K12" s="94"/>
      <c r="L12" s="96"/>
      <c r="M12" s="96"/>
      <c r="N12" s="95"/>
    </row>
    <row r="13" spans="2:14" ht="27.6" thickBot="1" x14ac:dyDescent="1.05">
      <c r="B13" s="6">
        <v>8</v>
      </c>
      <c r="C13" s="90">
        <v>45036</v>
      </c>
      <c r="D13" s="91"/>
      <c r="E13" s="92"/>
      <c r="F13" s="93" t="s">
        <v>21</v>
      </c>
      <c r="G13" s="93"/>
      <c r="H13" s="4">
        <v>1400000</v>
      </c>
      <c r="I13" s="94">
        <v>336</v>
      </c>
      <c r="J13" s="95"/>
      <c r="K13" s="94"/>
      <c r="L13" s="96"/>
      <c r="M13" s="96"/>
      <c r="N13" s="95"/>
    </row>
    <row r="14" spans="2:14" ht="27.6" thickBot="1" x14ac:dyDescent="1.05">
      <c r="B14" s="6">
        <v>9</v>
      </c>
      <c r="C14" s="90">
        <v>45035</v>
      </c>
      <c r="D14" s="91"/>
      <c r="E14" s="92"/>
      <c r="F14" s="93" t="s">
        <v>195</v>
      </c>
      <c r="G14" s="93"/>
      <c r="H14" s="4">
        <v>340000</v>
      </c>
      <c r="I14" s="94">
        <v>337</v>
      </c>
      <c r="J14" s="95"/>
      <c r="K14" s="94"/>
      <c r="L14" s="96"/>
      <c r="M14" s="96"/>
      <c r="N14" s="95"/>
    </row>
    <row r="15" spans="2:14" ht="27.6" thickBot="1" x14ac:dyDescent="1.05">
      <c r="B15" s="6">
        <v>10</v>
      </c>
      <c r="C15" s="90">
        <v>45035</v>
      </c>
      <c r="D15" s="91"/>
      <c r="E15" s="92"/>
      <c r="F15" s="93" t="s">
        <v>41</v>
      </c>
      <c r="G15" s="93"/>
      <c r="H15" s="4">
        <v>900000</v>
      </c>
      <c r="I15" s="94">
        <v>338</v>
      </c>
      <c r="J15" s="95"/>
      <c r="K15" s="94"/>
      <c r="L15" s="96"/>
      <c r="M15" s="96"/>
      <c r="N15" s="95"/>
    </row>
    <row r="16" spans="2:14" ht="27.6" thickBot="1" x14ac:dyDescent="1.05">
      <c r="B16" s="6">
        <v>11</v>
      </c>
      <c r="C16" s="90">
        <v>45033</v>
      </c>
      <c r="D16" s="91"/>
      <c r="E16" s="92"/>
      <c r="F16" s="93" t="s">
        <v>196</v>
      </c>
      <c r="G16" s="93"/>
      <c r="H16" s="4">
        <v>300000</v>
      </c>
      <c r="I16" s="94">
        <v>339</v>
      </c>
      <c r="J16" s="95"/>
      <c r="K16" s="94"/>
      <c r="L16" s="96"/>
      <c r="M16" s="96"/>
      <c r="N16" s="95"/>
    </row>
    <row r="17" spans="2:14" ht="27.6" thickBot="1" x14ac:dyDescent="1.05">
      <c r="B17" s="6">
        <v>12</v>
      </c>
      <c r="C17" s="90">
        <v>45036</v>
      </c>
      <c r="D17" s="91"/>
      <c r="E17" s="92"/>
      <c r="F17" s="93" t="s">
        <v>197</v>
      </c>
      <c r="G17" s="93"/>
      <c r="H17" s="4">
        <v>3800000</v>
      </c>
      <c r="I17" s="94">
        <v>340</v>
      </c>
      <c r="J17" s="95"/>
      <c r="K17" s="94"/>
      <c r="L17" s="96"/>
      <c r="M17" s="96"/>
      <c r="N17" s="95"/>
    </row>
    <row r="18" spans="2:14" ht="27.6" thickBot="1" x14ac:dyDescent="1.05">
      <c r="B18" s="6">
        <v>13</v>
      </c>
      <c r="C18" s="116"/>
      <c r="D18" s="117"/>
      <c r="E18" s="118"/>
      <c r="F18" s="119"/>
      <c r="G18" s="119"/>
      <c r="H18" s="51"/>
      <c r="I18" s="120"/>
      <c r="J18" s="121"/>
      <c r="K18" s="120"/>
      <c r="L18" s="122"/>
      <c r="M18" s="122"/>
      <c r="N18" s="121"/>
    </row>
    <row r="19" spans="2:14" ht="27.6" thickBot="1" x14ac:dyDescent="1.05">
      <c r="B19" s="6">
        <v>14</v>
      </c>
      <c r="C19" s="116"/>
      <c r="D19" s="117"/>
      <c r="E19" s="118"/>
      <c r="F19" s="119"/>
      <c r="G19" s="119"/>
      <c r="H19" s="51"/>
      <c r="I19" s="120"/>
      <c r="J19" s="121"/>
      <c r="K19" s="120"/>
      <c r="L19" s="122"/>
      <c r="M19" s="122"/>
      <c r="N19" s="121"/>
    </row>
    <row r="20" spans="2:14" ht="27.6" thickBot="1" x14ac:dyDescent="1.05">
      <c r="B20" s="6">
        <v>15</v>
      </c>
      <c r="C20" s="116"/>
      <c r="D20" s="117"/>
      <c r="E20" s="118"/>
      <c r="F20" s="119"/>
      <c r="G20" s="119"/>
      <c r="H20" s="51"/>
      <c r="I20" s="120"/>
      <c r="J20" s="121"/>
      <c r="K20" s="120"/>
      <c r="L20" s="122"/>
      <c r="M20" s="122"/>
      <c r="N20" s="121"/>
    </row>
    <row r="21" spans="2:14" ht="27.6" thickBot="1" x14ac:dyDescent="1.05">
      <c r="B21" s="6">
        <v>16</v>
      </c>
      <c r="C21" s="116"/>
      <c r="D21" s="117"/>
      <c r="E21" s="118"/>
      <c r="F21" s="119"/>
      <c r="G21" s="119"/>
      <c r="H21" s="51"/>
      <c r="I21" s="120"/>
      <c r="J21" s="121"/>
      <c r="K21" s="120"/>
      <c r="L21" s="122"/>
      <c r="M21" s="122"/>
      <c r="N21" s="121"/>
    </row>
    <row r="22" spans="2:14" ht="27.6" thickBot="1" x14ac:dyDescent="1.05">
      <c r="B22" s="6">
        <v>17</v>
      </c>
      <c r="C22" s="116"/>
      <c r="D22" s="117"/>
      <c r="E22" s="118"/>
      <c r="F22" s="119"/>
      <c r="G22" s="119"/>
      <c r="H22" s="51"/>
      <c r="I22" s="120"/>
      <c r="J22" s="121"/>
      <c r="K22" s="120"/>
      <c r="L22" s="122"/>
      <c r="M22" s="122"/>
      <c r="N22" s="121"/>
    </row>
    <row r="23" spans="2:14" ht="27.6" thickBot="1" x14ac:dyDescent="1.05">
      <c r="B23" s="6">
        <v>18</v>
      </c>
      <c r="C23" s="116"/>
      <c r="D23" s="117"/>
      <c r="E23" s="118"/>
      <c r="F23" s="119"/>
      <c r="G23" s="119"/>
      <c r="H23" s="51"/>
      <c r="I23" s="120"/>
      <c r="J23" s="121"/>
      <c r="K23" s="120"/>
      <c r="L23" s="122"/>
      <c r="M23" s="122"/>
      <c r="N23" s="121"/>
    </row>
    <row r="24" spans="2:14" ht="27.6" thickBot="1" x14ac:dyDescent="1.05">
      <c r="B24" s="6">
        <v>19</v>
      </c>
      <c r="C24" s="116"/>
      <c r="D24" s="117"/>
      <c r="E24" s="118"/>
      <c r="F24" s="119"/>
      <c r="G24" s="119"/>
      <c r="H24" s="51"/>
      <c r="I24" s="120"/>
      <c r="J24" s="121"/>
      <c r="K24" s="120"/>
      <c r="L24" s="122"/>
      <c r="M24" s="122"/>
      <c r="N24" s="121"/>
    </row>
    <row r="25" spans="2:14" ht="27.6" thickBot="1" x14ac:dyDescent="1.05">
      <c r="B25" s="6">
        <v>20</v>
      </c>
      <c r="C25" s="116"/>
      <c r="D25" s="117"/>
      <c r="E25" s="118"/>
      <c r="F25" s="119"/>
      <c r="G25" s="119"/>
      <c r="H25" s="51"/>
      <c r="I25" s="120"/>
      <c r="J25" s="121"/>
      <c r="K25" s="120"/>
      <c r="L25" s="122"/>
      <c r="M25" s="122"/>
      <c r="N25" s="121"/>
    </row>
    <row r="26" spans="2:14" ht="27.6" thickBot="1" x14ac:dyDescent="1.05">
      <c r="B26" s="6">
        <v>21</v>
      </c>
      <c r="C26" s="116"/>
      <c r="D26" s="117"/>
      <c r="E26" s="118"/>
      <c r="F26" s="119"/>
      <c r="G26" s="119"/>
      <c r="H26" s="51"/>
      <c r="I26" s="120"/>
      <c r="J26" s="121"/>
      <c r="K26" s="120"/>
      <c r="L26" s="122"/>
      <c r="M26" s="122"/>
      <c r="N26" s="121"/>
    </row>
    <row r="27" spans="2:14" ht="27.6" thickBot="1" x14ac:dyDescent="1.05">
      <c r="B27" s="6">
        <v>22</v>
      </c>
      <c r="C27" s="116"/>
      <c r="D27" s="117"/>
      <c r="E27" s="118"/>
      <c r="F27" s="119"/>
      <c r="G27" s="119"/>
      <c r="H27" s="51"/>
      <c r="I27" s="120"/>
      <c r="J27" s="121"/>
      <c r="K27" s="120"/>
      <c r="L27" s="122"/>
      <c r="M27" s="122"/>
      <c r="N27" s="121"/>
    </row>
    <row r="28" spans="2:14" ht="27.6" thickBot="1" x14ac:dyDescent="1.05">
      <c r="B28" s="6">
        <v>23</v>
      </c>
      <c r="C28" s="116"/>
      <c r="D28" s="117"/>
      <c r="E28" s="118"/>
      <c r="F28" s="119"/>
      <c r="G28" s="119"/>
      <c r="H28" s="51"/>
      <c r="I28" s="120"/>
      <c r="J28" s="121"/>
      <c r="K28" s="120"/>
      <c r="L28" s="122"/>
      <c r="M28" s="122"/>
      <c r="N28" s="121"/>
    </row>
    <row r="29" spans="2:14" ht="27.6" thickBot="1" x14ac:dyDescent="1.05">
      <c r="B29" s="6">
        <v>24</v>
      </c>
      <c r="C29" s="116"/>
      <c r="D29" s="117"/>
      <c r="E29" s="118"/>
      <c r="F29" s="119"/>
      <c r="G29" s="119"/>
      <c r="H29" s="51"/>
      <c r="I29" s="120"/>
      <c r="J29" s="121"/>
      <c r="K29" s="120"/>
      <c r="L29" s="122"/>
      <c r="M29" s="122"/>
      <c r="N29" s="121"/>
    </row>
    <row r="30" spans="2:14" ht="27.6" thickBot="1" x14ac:dyDescent="1.05">
      <c r="B30" s="6">
        <v>25</v>
      </c>
      <c r="C30" s="116"/>
      <c r="D30" s="117"/>
      <c r="E30" s="118"/>
      <c r="F30" s="120"/>
      <c r="G30" s="121"/>
      <c r="H30" s="51"/>
      <c r="I30" s="120"/>
      <c r="J30" s="121"/>
      <c r="K30" s="52"/>
      <c r="L30" s="53"/>
      <c r="M30" s="53"/>
      <c r="N30" s="54"/>
    </row>
    <row r="31" spans="2:14" s="1" customFormat="1" ht="29.4" customHeight="1" thickTop="1" thickBot="1" x14ac:dyDescent="0.3">
      <c r="B31" s="102" t="s">
        <v>12</v>
      </c>
      <c r="C31" s="102"/>
      <c r="D31" s="102"/>
      <c r="E31" s="102"/>
      <c r="F31" s="102"/>
      <c r="G31" s="103">
        <f>SUM(H6:H30)</f>
        <v>76340000</v>
      </c>
      <c r="H31" s="104"/>
      <c r="I31" s="104"/>
      <c r="J31" s="105"/>
      <c r="K31" s="106"/>
      <c r="L31" s="107"/>
      <c r="M31" s="107"/>
      <c r="N31" s="108"/>
    </row>
    <row r="32" spans="2:14" s="1" customFormat="1" ht="29.4" customHeight="1" thickBot="1" x14ac:dyDescent="0.3">
      <c r="B32" s="100" t="s">
        <v>13</v>
      </c>
      <c r="C32" s="100"/>
      <c r="D32" s="100"/>
      <c r="E32" s="100"/>
      <c r="F32" s="100"/>
      <c r="G32" s="109"/>
      <c r="H32" s="110"/>
      <c r="I32" s="110"/>
      <c r="J32" s="111"/>
      <c r="K32" s="97"/>
      <c r="L32" s="98"/>
      <c r="M32" s="98"/>
      <c r="N32" s="99"/>
    </row>
    <row r="33" spans="2:14" ht="82.2" customHeight="1" thickBot="1" x14ac:dyDescent="0.3">
      <c r="B33" s="101" t="s">
        <v>14</v>
      </c>
      <c r="C33" s="101"/>
      <c r="D33" s="101"/>
      <c r="E33" s="101"/>
      <c r="F33" s="101" t="s">
        <v>15</v>
      </c>
      <c r="G33" s="101"/>
      <c r="H33" s="101" t="s">
        <v>16</v>
      </c>
      <c r="I33" s="101"/>
      <c r="J33" s="101" t="s">
        <v>17</v>
      </c>
      <c r="K33" s="101"/>
      <c r="L33" s="101"/>
      <c r="M33" s="101"/>
      <c r="N33" s="101"/>
    </row>
  </sheetData>
  <mergeCells count="121">
    <mergeCell ref="C5:E5"/>
    <mergeCell ref="F5:G5"/>
    <mergeCell ref="I5:J5"/>
    <mergeCell ref="K5:N5"/>
    <mergeCell ref="C6:E6"/>
    <mergeCell ref="F6:G6"/>
    <mergeCell ref="I6:J6"/>
    <mergeCell ref="K6:N6"/>
    <mergeCell ref="B2:E3"/>
    <mergeCell ref="F2:H3"/>
    <mergeCell ref="J2:K2"/>
    <mergeCell ref="M2:N2"/>
    <mergeCell ref="J3:N3"/>
    <mergeCell ref="B4:D4"/>
    <mergeCell ref="E4:F4"/>
    <mergeCell ref="J4:N4"/>
    <mergeCell ref="C9:E9"/>
    <mergeCell ref="F9:G9"/>
    <mergeCell ref="I9:J9"/>
    <mergeCell ref="K9:N9"/>
    <mergeCell ref="C10:E10"/>
    <mergeCell ref="F10:G10"/>
    <mergeCell ref="I10:J10"/>
    <mergeCell ref="K10:N10"/>
    <mergeCell ref="C7:E7"/>
    <mergeCell ref="F7:G7"/>
    <mergeCell ref="I7:J7"/>
    <mergeCell ref="K7:N7"/>
    <mergeCell ref="C8:E8"/>
    <mergeCell ref="F8:G8"/>
    <mergeCell ref="I8:J8"/>
    <mergeCell ref="K8:N8"/>
    <mergeCell ref="C13:E13"/>
    <mergeCell ref="F13:G13"/>
    <mergeCell ref="I13:J13"/>
    <mergeCell ref="K13:N13"/>
    <mergeCell ref="C14:E14"/>
    <mergeCell ref="F14:G14"/>
    <mergeCell ref="I14:J14"/>
    <mergeCell ref="K14:N14"/>
    <mergeCell ref="C11:E11"/>
    <mergeCell ref="F11:G11"/>
    <mergeCell ref="I11:J11"/>
    <mergeCell ref="K11:N11"/>
    <mergeCell ref="C12:E12"/>
    <mergeCell ref="F12:G12"/>
    <mergeCell ref="I12:J12"/>
    <mergeCell ref="K12:N12"/>
    <mergeCell ref="C17:E17"/>
    <mergeCell ref="F17:G17"/>
    <mergeCell ref="I17:J17"/>
    <mergeCell ref="K17:N17"/>
    <mergeCell ref="C18:E18"/>
    <mergeCell ref="F18:G18"/>
    <mergeCell ref="I18:J18"/>
    <mergeCell ref="K18:N18"/>
    <mergeCell ref="C15:E15"/>
    <mergeCell ref="F15:G15"/>
    <mergeCell ref="I15:J15"/>
    <mergeCell ref="K15:N15"/>
    <mergeCell ref="C16:E16"/>
    <mergeCell ref="F16:G16"/>
    <mergeCell ref="I16:J16"/>
    <mergeCell ref="K16:N16"/>
    <mergeCell ref="C21:E21"/>
    <mergeCell ref="F21:G21"/>
    <mergeCell ref="I21:J21"/>
    <mergeCell ref="K21:N21"/>
    <mergeCell ref="C22:E22"/>
    <mergeCell ref="F22:G22"/>
    <mergeCell ref="I22:J22"/>
    <mergeCell ref="K22:N22"/>
    <mergeCell ref="C19:E19"/>
    <mergeCell ref="F19:G19"/>
    <mergeCell ref="I19:J19"/>
    <mergeCell ref="K19:N19"/>
    <mergeCell ref="C20:E20"/>
    <mergeCell ref="F20:G20"/>
    <mergeCell ref="I20:J20"/>
    <mergeCell ref="K20:N20"/>
    <mergeCell ref="C25:E25"/>
    <mergeCell ref="F25:G25"/>
    <mergeCell ref="I25:J25"/>
    <mergeCell ref="K25:N25"/>
    <mergeCell ref="C26:E26"/>
    <mergeCell ref="F26:G26"/>
    <mergeCell ref="I26:J26"/>
    <mergeCell ref="K26:N26"/>
    <mergeCell ref="C23:E23"/>
    <mergeCell ref="F23:G23"/>
    <mergeCell ref="I23:J23"/>
    <mergeCell ref="K23:N23"/>
    <mergeCell ref="C24:E24"/>
    <mergeCell ref="F24:G24"/>
    <mergeCell ref="I24:J24"/>
    <mergeCell ref="K24:N24"/>
    <mergeCell ref="C29:E29"/>
    <mergeCell ref="F29:G29"/>
    <mergeCell ref="I29:J29"/>
    <mergeCell ref="K29:N29"/>
    <mergeCell ref="C30:E30"/>
    <mergeCell ref="F30:G30"/>
    <mergeCell ref="I30:J30"/>
    <mergeCell ref="C27:E27"/>
    <mergeCell ref="F27:G27"/>
    <mergeCell ref="I27:J27"/>
    <mergeCell ref="K27:N27"/>
    <mergeCell ref="C28:E28"/>
    <mergeCell ref="F28:G28"/>
    <mergeCell ref="I28:J28"/>
    <mergeCell ref="K28:N28"/>
    <mergeCell ref="B33:E33"/>
    <mergeCell ref="F33:G33"/>
    <mergeCell ref="H33:I33"/>
    <mergeCell ref="J33:N33"/>
    <mergeCell ref="B31:F31"/>
    <mergeCell ref="G31:J31"/>
    <mergeCell ref="K31:N31"/>
    <mergeCell ref="B32:F32"/>
    <mergeCell ref="G32:J32"/>
    <mergeCell ref="K32:N32"/>
  </mergeCells>
  <printOptions horizontalCentered="1" verticalCentered="1"/>
  <pageMargins left="0" right="0.23622047244094491" top="0" bottom="0.17" header="0" footer="0.4"/>
  <pageSetup paperSize="9" scale="71" orientation="portrait" r:id="rId1"/>
  <colBreaks count="2" manualBreakCount="2">
    <brk id="1" max="1048575" man="1"/>
    <brk id="10" min="1" max="32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B1:N33"/>
  <sheetViews>
    <sheetView rightToLeft="1" showWhiteSpace="0" topLeftCell="C1" zoomScale="70" zoomScaleNormal="70" zoomScalePageLayoutView="40" workbookViewId="0">
      <selection activeCell="T1" sqref="T1:V1048576"/>
    </sheetView>
  </sheetViews>
  <sheetFormatPr defaultRowHeight="13.8" x14ac:dyDescent="0.25"/>
  <cols>
    <col min="2" max="2" width="5.5" customWidth="1"/>
    <col min="3" max="3" width="4.19921875" customWidth="1"/>
    <col min="4" max="4" width="7.19921875" customWidth="1"/>
    <col min="5" max="5" width="4" customWidth="1"/>
    <col min="6" max="6" width="15.59765625" customWidth="1"/>
    <col min="7" max="7" width="17.09765625" customWidth="1"/>
    <col min="8" max="8" width="19.69921875" customWidth="1"/>
    <col min="9" max="9" width="12.5" bestFit="1" customWidth="1"/>
    <col min="10" max="10" width="4.69921875" customWidth="1"/>
    <col min="11" max="11" width="13.5" customWidth="1"/>
    <col min="12" max="13" width="9.5" customWidth="1"/>
    <col min="14" max="14" width="5.09765625" customWidth="1"/>
  </cols>
  <sheetData>
    <row r="1" spans="2:14" ht="14.4" thickBot="1" x14ac:dyDescent="0.3"/>
    <row r="2" spans="2:14" ht="24.6" customHeight="1" thickBot="1" x14ac:dyDescent="0.8">
      <c r="B2" s="81"/>
      <c r="C2" s="81"/>
      <c r="D2" s="81"/>
      <c r="E2" s="81"/>
      <c r="F2" s="82" t="s">
        <v>18</v>
      </c>
      <c r="G2" s="82"/>
      <c r="H2" s="82"/>
      <c r="I2" s="41" t="s">
        <v>0</v>
      </c>
      <c r="J2" s="83"/>
      <c r="K2" s="84"/>
      <c r="L2" s="41" t="s">
        <v>1</v>
      </c>
      <c r="M2" s="83"/>
      <c r="N2" s="84"/>
    </row>
    <row r="3" spans="2:14" ht="34.950000000000003" customHeight="1" thickBot="1" x14ac:dyDescent="0.3">
      <c r="B3" s="81"/>
      <c r="C3" s="81"/>
      <c r="D3" s="81"/>
      <c r="E3" s="81"/>
      <c r="F3" s="82"/>
      <c r="G3" s="82"/>
      <c r="H3" s="82"/>
      <c r="I3" s="9" t="s">
        <v>4</v>
      </c>
      <c r="J3" s="85"/>
      <c r="K3" s="85"/>
      <c r="L3" s="85"/>
      <c r="M3" s="85"/>
      <c r="N3" s="86"/>
    </row>
    <row r="4" spans="2:14" ht="24" thickBot="1" x14ac:dyDescent="0.8">
      <c r="B4" s="87" t="s">
        <v>2</v>
      </c>
      <c r="C4" s="87"/>
      <c r="D4" s="88"/>
      <c r="E4" s="84"/>
      <c r="F4" s="89"/>
      <c r="G4" s="41" t="s">
        <v>3</v>
      </c>
      <c r="H4" s="2"/>
      <c r="I4" s="41" t="s">
        <v>5</v>
      </c>
      <c r="J4" s="83"/>
      <c r="K4" s="83"/>
      <c r="L4" s="83"/>
      <c r="M4" s="83"/>
      <c r="N4" s="84"/>
    </row>
    <row r="5" spans="2:14" s="1" customFormat="1" ht="29.4" customHeight="1" thickBot="1" x14ac:dyDescent="0.3">
      <c r="B5" s="45" t="s">
        <v>6</v>
      </c>
      <c r="C5" s="100" t="s">
        <v>7</v>
      </c>
      <c r="D5" s="100"/>
      <c r="E5" s="100"/>
      <c r="F5" s="100" t="s">
        <v>8</v>
      </c>
      <c r="G5" s="100"/>
      <c r="H5" s="45" t="s">
        <v>9</v>
      </c>
      <c r="I5" s="97" t="s">
        <v>10</v>
      </c>
      <c r="J5" s="99"/>
      <c r="K5" s="97" t="s">
        <v>11</v>
      </c>
      <c r="L5" s="98"/>
      <c r="M5" s="98"/>
      <c r="N5" s="99"/>
    </row>
    <row r="6" spans="2:14" ht="27.6" thickBot="1" x14ac:dyDescent="1.05">
      <c r="B6" s="6">
        <v>1</v>
      </c>
      <c r="C6" s="90">
        <v>45031</v>
      </c>
      <c r="D6" s="91"/>
      <c r="E6" s="92"/>
      <c r="F6" s="93" t="s">
        <v>36</v>
      </c>
      <c r="G6" s="93"/>
      <c r="H6" s="4">
        <v>360000</v>
      </c>
      <c r="I6" s="94">
        <v>304</v>
      </c>
      <c r="J6" s="95"/>
      <c r="K6" s="94"/>
      <c r="L6" s="96"/>
      <c r="M6" s="96"/>
      <c r="N6" s="95"/>
    </row>
    <row r="7" spans="2:14" ht="27.6" thickBot="1" x14ac:dyDescent="1.05">
      <c r="B7" s="6">
        <v>2</v>
      </c>
      <c r="C7" s="90">
        <v>45031</v>
      </c>
      <c r="D7" s="91"/>
      <c r="E7" s="92"/>
      <c r="F7" s="93" t="s">
        <v>172</v>
      </c>
      <c r="G7" s="93"/>
      <c r="H7" s="4">
        <v>4630000</v>
      </c>
      <c r="I7" s="94">
        <v>305</v>
      </c>
      <c r="J7" s="95"/>
      <c r="K7" s="94"/>
      <c r="L7" s="96"/>
      <c r="M7" s="96"/>
      <c r="N7" s="95"/>
    </row>
    <row r="8" spans="2:14" ht="27.6" thickBot="1" x14ac:dyDescent="1.05">
      <c r="B8" s="6">
        <v>3</v>
      </c>
      <c r="C8" s="90">
        <v>45031</v>
      </c>
      <c r="D8" s="91"/>
      <c r="E8" s="92"/>
      <c r="F8" s="93" t="s">
        <v>173</v>
      </c>
      <c r="G8" s="93"/>
      <c r="H8" s="4">
        <v>26450000</v>
      </c>
      <c r="I8" s="94">
        <v>306</v>
      </c>
      <c r="J8" s="95"/>
      <c r="K8" s="94"/>
      <c r="L8" s="96"/>
      <c r="M8" s="96"/>
      <c r="N8" s="95"/>
    </row>
    <row r="9" spans="2:14" s="1" customFormat="1" ht="27.6" thickBot="1" x14ac:dyDescent="0.35">
      <c r="B9" s="14">
        <v>4</v>
      </c>
      <c r="C9" s="90">
        <v>45032</v>
      </c>
      <c r="D9" s="91"/>
      <c r="E9" s="92"/>
      <c r="F9" s="115" t="s">
        <v>41</v>
      </c>
      <c r="G9" s="115"/>
      <c r="H9" s="15">
        <v>1480000</v>
      </c>
      <c r="I9" s="94">
        <v>307</v>
      </c>
      <c r="J9" s="95"/>
      <c r="K9" s="97"/>
      <c r="L9" s="98"/>
      <c r="M9" s="98"/>
      <c r="N9" s="99"/>
    </row>
    <row r="10" spans="2:14" ht="27.6" thickBot="1" x14ac:dyDescent="1.05">
      <c r="B10" s="6">
        <v>5</v>
      </c>
      <c r="C10" s="90">
        <v>45031</v>
      </c>
      <c r="D10" s="91"/>
      <c r="E10" s="92"/>
      <c r="F10" s="93" t="s">
        <v>171</v>
      </c>
      <c r="G10" s="93"/>
      <c r="H10" s="4">
        <v>3200000</v>
      </c>
      <c r="I10" s="94">
        <v>308</v>
      </c>
      <c r="J10" s="95"/>
      <c r="K10" s="94"/>
      <c r="L10" s="96"/>
      <c r="M10" s="96"/>
      <c r="N10" s="95"/>
    </row>
    <row r="11" spans="2:14" ht="27.6" thickBot="1" x14ac:dyDescent="1.05">
      <c r="B11" s="6">
        <v>6</v>
      </c>
      <c r="C11" s="90">
        <v>45032</v>
      </c>
      <c r="D11" s="91"/>
      <c r="E11" s="92"/>
      <c r="F11" s="93" t="s">
        <v>29</v>
      </c>
      <c r="G11" s="93"/>
      <c r="H11" s="4">
        <v>1080000</v>
      </c>
      <c r="I11" s="94">
        <v>309</v>
      </c>
      <c r="J11" s="95"/>
      <c r="K11" s="94"/>
      <c r="L11" s="96"/>
      <c r="M11" s="96"/>
      <c r="N11" s="95"/>
    </row>
    <row r="12" spans="2:14" ht="27.6" thickBot="1" x14ac:dyDescent="1.05">
      <c r="B12" s="6">
        <v>7</v>
      </c>
      <c r="C12" s="90">
        <v>45032</v>
      </c>
      <c r="D12" s="91"/>
      <c r="E12" s="92"/>
      <c r="F12" s="93" t="s">
        <v>174</v>
      </c>
      <c r="G12" s="93"/>
      <c r="H12" s="4">
        <v>1300000</v>
      </c>
      <c r="I12" s="94">
        <v>310</v>
      </c>
      <c r="J12" s="95"/>
      <c r="K12" s="94"/>
      <c r="L12" s="96"/>
      <c r="M12" s="96"/>
      <c r="N12" s="95"/>
    </row>
    <row r="13" spans="2:14" ht="27.6" thickBot="1" x14ac:dyDescent="1.05">
      <c r="B13" s="6">
        <v>8</v>
      </c>
      <c r="C13" s="90">
        <v>45020</v>
      </c>
      <c r="D13" s="91"/>
      <c r="E13" s="92"/>
      <c r="F13" s="93" t="s">
        <v>41</v>
      </c>
      <c r="G13" s="93"/>
      <c r="H13" s="4">
        <v>861900</v>
      </c>
      <c r="I13" s="94">
        <v>311</v>
      </c>
      <c r="J13" s="95"/>
      <c r="K13" s="94"/>
      <c r="L13" s="96"/>
      <c r="M13" s="96"/>
      <c r="N13" s="95"/>
    </row>
    <row r="14" spans="2:14" ht="27.6" thickBot="1" x14ac:dyDescent="1.05">
      <c r="B14" s="6">
        <v>9</v>
      </c>
      <c r="C14" s="90">
        <v>45033</v>
      </c>
      <c r="D14" s="91"/>
      <c r="E14" s="92"/>
      <c r="F14" s="93" t="s">
        <v>175</v>
      </c>
      <c r="G14" s="93"/>
      <c r="H14" s="4">
        <v>18000000</v>
      </c>
      <c r="I14" s="94">
        <v>312</v>
      </c>
      <c r="J14" s="95"/>
      <c r="K14" s="94"/>
      <c r="L14" s="96"/>
      <c r="M14" s="96"/>
      <c r="N14" s="95"/>
    </row>
    <row r="15" spans="2:14" ht="27.6" thickBot="1" x14ac:dyDescent="1.05">
      <c r="B15" s="6">
        <v>10</v>
      </c>
      <c r="C15" s="90">
        <v>45033</v>
      </c>
      <c r="D15" s="91"/>
      <c r="E15" s="92"/>
      <c r="F15" s="93" t="s">
        <v>176</v>
      </c>
      <c r="G15" s="93"/>
      <c r="H15" s="4">
        <v>500000</v>
      </c>
      <c r="I15" s="94">
        <v>313</v>
      </c>
      <c r="J15" s="95"/>
      <c r="K15" s="94"/>
      <c r="L15" s="96"/>
      <c r="M15" s="96"/>
      <c r="N15" s="95"/>
    </row>
    <row r="16" spans="2:14" ht="27.6" thickBot="1" x14ac:dyDescent="1.05">
      <c r="B16" s="6">
        <v>11</v>
      </c>
      <c r="C16" s="90">
        <v>45033</v>
      </c>
      <c r="D16" s="91"/>
      <c r="E16" s="92"/>
      <c r="F16" s="93" t="s">
        <v>126</v>
      </c>
      <c r="G16" s="93"/>
      <c r="H16" s="4">
        <v>3500000</v>
      </c>
      <c r="I16" s="94">
        <v>314</v>
      </c>
      <c r="J16" s="95"/>
      <c r="K16" s="94"/>
      <c r="L16" s="96"/>
      <c r="M16" s="96"/>
      <c r="N16" s="95"/>
    </row>
    <row r="17" spans="2:14" ht="27.6" thickBot="1" x14ac:dyDescent="1.05">
      <c r="B17" s="6">
        <v>12</v>
      </c>
      <c r="C17" s="90">
        <v>45033</v>
      </c>
      <c r="D17" s="91"/>
      <c r="E17" s="92"/>
      <c r="F17" s="93" t="s">
        <v>126</v>
      </c>
      <c r="G17" s="93"/>
      <c r="H17" s="4">
        <v>1500000</v>
      </c>
      <c r="I17" s="94">
        <v>315</v>
      </c>
      <c r="J17" s="95"/>
      <c r="K17" s="94"/>
      <c r="L17" s="96"/>
      <c r="M17" s="96"/>
      <c r="N17" s="95"/>
    </row>
    <row r="18" spans="2:14" ht="27.6" thickBot="1" x14ac:dyDescent="1.05">
      <c r="B18" s="6">
        <v>13</v>
      </c>
      <c r="C18" s="90">
        <v>45033</v>
      </c>
      <c r="D18" s="91"/>
      <c r="E18" s="92"/>
      <c r="F18" s="93" t="s">
        <v>175</v>
      </c>
      <c r="G18" s="93"/>
      <c r="H18" s="4">
        <v>7000000</v>
      </c>
      <c r="I18" s="94">
        <v>316</v>
      </c>
      <c r="J18" s="95"/>
      <c r="K18" s="94"/>
      <c r="L18" s="96"/>
      <c r="M18" s="96"/>
      <c r="N18" s="95"/>
    </row>
    <row r="19" spans="2:14" ht="27.6" thickBot="1" x14ac:dyDescent="1.05">
      <c r="B19" s="6">
        <v>14</v>
      </c>
      <c r="C19" s="90">
        <v>45034</v>
      </c>
      <c r="D19" s="91"/>
      <c r="E19" s="92"/>
      <c r="F19" s="93" t="s">
        <v>178</v>
      </c>
      <c r="G19" s="93"/>
      <c r="H19" s="4">
        <v>270000</v>
      </c>
      <c r="I19" s="94">
        <v>317</v>
      </c>
      <c r="J19" s="95"/>
      <c r="K19" s="94"/>
      <c r="L19" s="96"/>
      <c r="M19" s="96"/>
      <c r="N19" s="95"/>
    </row>
    <row r="20" spans="2:14" ht="27.6" thickBot="1" x14ac:dyDescent="1.05">
      <c r="B20" s="6">
        <v>15</v>
      </c>
      <c r="C20" s="90">
        <v>45034</v>
      </c>
      <c r="D20" s="91"/>
      <c r="E20" s="92"/>
      <c r="F20" s="93" t="s">
        <v>177</v>
      </c>
      <c r="G20" s="93"/>
      <c r="H20" s="4">
        <v>15900000</v>
      </c>
      <c r="I20" s="94">
        <v>318</v>
      </c>
      <c r="J20" s="95"/>
      <c r="K20" s="94"/>
      <c r="L20" s="96"/>
      <c r="M20" s="96"/>
      <c r="N20" s="95"/>
    </row>
    <row r="21" spans="2:14" ht="27.6" thickBot="1" x14ac:dyDescent="1.05">
      <c r="B21" s="6">
        <v>16</v>
      </c>
      <c r="C21" s="90">
        <v>45035</v>
      </c>
      <c r="D21" s="91"/>
      <c r="E21" s="92"/>
      <c r="F21" s="93" t="s">
        <v>179</v>
      </c>
      <c r="G21" s="93"/>
      <c r="H21" s="4">
        <v>13000000</v>
      </c>
      <c r="I21" s="94">
        <v>319</v>
      </c>
      <c r="J21" s="95"/>
      <c r="K21" s="94"/>
      <c r="L21" s="96"/>
      <c r="M21" s="96"/>
      <c r="N21" s="95"/>
    </row>
    <row r="22" spans="2:14" ht="27.6" thickBot="1" x14ac:dyDescent="1.05">
      <c r="B22" s="6">
        <v>17</v>
      </c>
      <c r="C22" s="90">
        <v>45035</v>
      </c>
      <c r="D22" s="91"/>
      <c r="E22" s="92"/>
      <c r="F22" s="93" t="s">
        <v>180</v>
      </c>
      <c r="G22" s="93"/>
      <c r="H22" s="4">
        <v>42000000</v>
      </c>
      <c r="I22" s="94">
        <v>320</v>
      </c>
      <c r="J22" s="95"/>
      <c r="K22" s="94"/>
      <c r="L22" s="96"/>
      <c r="M22" s="96"/>
      <c r="N22" s="95"/>
    </row>
    <row r="23" spans="2:14" ht="27.6" thickBot="1" x14ac:dyDescent="1.05">
      <c r="B23" s="6">
        <v>18</v>
      </c>
      <c r="C23" s="90">
        <v>45035</v>
      </c>
      <c r="D23" s="91"/>
      <c r="E23" s="92"/>
      <c r="F23" s="93" t="s">
        <v>181</v>
      </c>
      <c r="G23" s="93"/>
      <c r="H23" s="4">
        <v>3000000</v>
      </c>
      <c r="I23" s="94">
        <v>321</v>
      </c>
      <c r="J23" s="95"/>
      <c r="K23" s="94"/>
      <c r="L23" s="96"/>
      <c r="M23" s="96"/>
      <c r="N23" s="95"/>
    </row>
    <row r="24" spans="2:14" ht="27.6" thickBot="1" x14ac:dyDescent="1.05">
      <c r="B24" s="6">
        <v>19</v>
      </c>
      <c r="C24" s="90">
        <v>45036</v>
      </c>
      <c r="D24" s="91"/>
      <c r="E24" s="92"/>
      <c r="F24" s="93" t="s">
        <v>182</v>
      </c>
      <c r="G24" s="93"/>
      <c r="H24" s="4">
        <v>4500000</v>
      </c>
      <c r="I24" s="94">
        <v>322</v>
      </c>
      <c r="J24" s="95"/>
      <c r="K24" s="94"/>
      <c r="L24" s="96"/>
      <c r="M24" s="96"/>
      <c r="N24" s="95"/>
    </row>
    <row r="25" spans="2:14" ht="27.6" thickBot="1" x14ac:dyDescent="1.05">
      <c r="B25" s="6">
        <v>20</v>
      </c>
      <c r="C25" s="90">
        <v>45036</v>
      </c>
      <c r="D25" s="91"/>
      <c r="E25" s="92"/>
      <c r="F25" s="93" t="s">
        <v>183</v>
      </c>
      <c r="G25" s="93"/>
      <c r="H25" s="4">
        <v>49100000</v>
      </c>
      <c r="I25" s="94">
        <v>323</v>
      </c>
      <c r="J25" s="95"/>
      <c r="K25" s="94"/>
      <c r="L25" s="96"/>
      <c r="M25" s="96"/>
      <c r="N25" s="95"/>
    </row>
    <row r="26" spans="2:14" ht="27.6" thickBot="1" x14ac:dyDescent="1.05">
      <c r="B26" s="6">
        <v>21</v>
      </c>
      <c r="C26" s="90">
        <v>45036</v>
      </c>
      <c r="D26" s="91"/>
      <c r="E26" s="92"/>
      <c r="F26" s="93" t="s">
        <v>184</v>
      </c>
      <c r="G26" s="93"/>
      <c r="H26" s="4">
        <v>4000000</v>
      </c>
      <c r="I26" s="94">
        <v>324</v>
      </c>
      <c r="J26" s="95"/>
      <c r="K26" s="94"/>
      <c r="L26" s="96"/>
      <c r="M26" s="96"/>
      <c r="N26" s="95"/>
    </row>
    <row r="27" spans="2:14" ht="27.6" thickBot="1" x14ac:dyDescent="1.05">
      <c r="B27" s="6">
        <v>22</v>
      </c>
      <c r="C27" s="90">
        <v>45039</v>
      </c>
      <c r="D27" s="91"/>
      <c r="E27" s="92"/>
      <c r="F27" s="93" t="s">
        <v>185</v>
      </c>
      <c r="G27" s="93"/>
      <c r="H27" s="4">
        <v>27500000</v>
      </c>
      <c r="I27" s="94">
        <v>325</v>
      </c>
      <c r="J27" s="95"/>
      <c r="K27" s="94"/>
      <c r="L27" s="96"/>
      <c r="M27" s="96"/>
      <c r="N27" s="95"/>
    </row>
    <row r="28" spans="2:14" ht="27.6" thickBot="1" x14ac:dyDescent="1.05">
      <c r="B28" s="6">
        <v>23</v>
      </c>
      <c r="C28" s="90">
        <v>45039</v>
      </c>
      <c r="D28" s="91"/>
      <c r="E28" s="92"/>
      <c r="F28" s="93" t="s">
        <v>186</v>
      </c>
      <c r="G28" s="93"/>
      <c r="H28" s="4">
        <v>32800000</v>
      </c>
      <c r="I28" s="94">
        <v>326</v>
      </c>
      <c r="J28" s="95"/>
      <c r="K28" s="94"/>
      <c r="L28" s="96"/>
      <c r="M28" s="96"/>
      <c r="N28" s="95"/>
    </row>
    <row r="29" spans="2:14" ht="27.6" thickBot="1" x14ac:dyDescent="1.05">
      <c r="B29" s="6">
        <v>24</v>
      </c>
      <c r="C29" s="90">
        <v>45039</v>
      </c>
      <c r="D29" s="91"/>
      <c r="E29" s="92"/>
      <c r="F29" s="93" t="s">
        <v>187</v>
      </c>
      <c r="G29" s="93"/>
      <c r="H29" s="4">
        <v>11000000</v>
      </c>
      <c r="I29" s="94">
        <v>327</v>
      </c>
      <c r="J29" s="95"/>
      <c r="K29" s="94"/>
      <c r="L29" s="96"/>
      <c r="M29" s="96"/>
      <c r="N29" s="95"/>
    </row>
    <row r="30" spans="2:14" ht="27.6" thickBot="1" x14ac:dyDescent="1.05">
      <c r="B30" s="6">
        <v>25</v>
      </c>
      <c r="C30" s="90">
        <v>45039</v>
      </c>
      <c r="D30" s="91"/>
      <c r="E30" s="92"/>
      <c r="F30" s="94" t="s">
        <v>188</v>
      </c>
      <c r="G30" s="95"/>
      <c r="H30" s="5">
        <v>6400000</v>
      </c>
      <c r="I30" s="94">
        <v>328</v>
      </c>
      <c r="J30" s="95"/>
      <c r="K30" s="42"/>
      <c r="L30" s="44"/>
      <c r="M30" s="44"/>
      <c r="N30" s="43"/>
    </row>
    <row r="31" spans="2:14" s="1" customFormat="1" ht="29.4" customHeight="1" thickTop="1" thickBot="1" x14ac:dyDescent="0.3">
      <c r="B31" s="102" t="s">
        <v>12</v>
      </c>
      <c r="C31" s="102"/>
      <c r="D31" s="102"/>
      <c r="E31" s="102"/>
      <c r="F31" s="102"/>
      <c r="G31" s="103">
        <f>SUM(H6:H30)</f>
        <v>279331900</v>
      </c>
      <c r="H31" s="104"/>
      <c r="I31" s="104"/>
      <c r="J31" s="105"/>
      <c r="K31" s="106"/>
      <c r="L31" s="107"/>
      <c r="M31" s="107"/>
      <c r="N31" s="108"/>
    </row>
    <row r="32" spans="2:14" s="1" customFormat="1" ht="29.4" customHeight="1" thickBot="1" x14ac:dyDescent="0.3">
      <c r="B32" s="100" t="s">
        <v>13</v>
      </c>
      <c r="C32" s="100"/>
      <c r="D32" s="100"/>
      <c r="E32" s="100"/>
      <c r="F32" s="100"/>
      <c r="G32" s="109"/>
      <c r="H32" s="110"/>
      <c r="I32" s="110"/>
      <c r="J32" s="111"/>
      <c r="K32" s="97"/>
      <c r="L32" s="98"/>
      <c r="M32" s="98"/>
      <c r="N32" s="99"/>
    </row>
    <row r="33" spans="2:14" ht="82.2" customHeight="1" thickBot="1" x14ac:dyDescent="0.3">
      <c r="B33" s="101" t="s">
        <v>14</v>
      </c>
      <c r="C33" s="101"/>
      <c r="D33" s="101"/>
      <c r="E33" s="101"/>
      <c r="F33" s="101" t="s">
        <v>15</v>
      </c>
      <c r="G33" s="101"/>
      <c r="H33" s="101" t="s">
        <v>16</v>
      </c>
      <c r="I33" s="101"/>
      <c r="J33" s="101" t="s">
        <v>17</v>
      </c>
      <c r="K33" s="101"/>
      <c r="L33" s="101"/>
      <c r="M33" s="101"/>
      <c r="N33" s="101"/>
    </row>
  </sheetData>
  <mergeCells count="121">
    <mergeCell ref="B33:E33"/>
    <mergeCell ref="F33:G33"/>
    <mergeCell ref="H33:I33"/>
    <mergeCell ref="J33:N33"/>
    <mergeCell ref="B31:F31"/>
    <mergeCell ref="G31:J31"/>
    <mergeCell ref="K31:N31"/>
    <mergeCell ref="B32:F32"/>
    <mergeCell ref="G32:J32"/>
    <mergeCell ref="K32:N32"/>
    <mergeCell ref="C29:E29"/>
    <mergeCell ref="F29:G29"/>
    <mergeCell ref="I29:J29"/>
    <mergeCell ref="K29:N29"/>
    <mergeCell ref="C30:E30"/>
    <mergeCell ref="F30:G30"/>
    <mergeCell ref="I30:J30"/>
    <mergeCell ref="C27:E27"/>
    <mergeCell ref="F27:G27"/>
    <mergeCell ref="I27:J27"/>
    <mergeCell ref="K27:N27"/>
    <mergeCell ref="C28:E28"/>
    <mergeCell ref="F28:G28"/>
    <mergeCell ref="I28:J28"/>
    <mergeCell ref="K28:N28"/>
    <mergeCell ref="C25:E25"/>
    <mergeCell ref="F25:G25"/>
    <mergeCell ref="I25:J25"/>
    <mergeCell ref="K25:N25"/>
    <mergeCell ref="C26:E26"/>
    <mergeCell ref="F26:G26"/>
    <mergeCell ref="I26:J26"/>
    <mergeCell ref="K26:N26"/>
    <mergeCell ref="C23:E23"/>
    <mergeCell ref="F23:G23"/>
    <mergeCell ref="I23:J23"/>
    <mergeCell ref="K23:N23"/>
    <mergeCell ref="C24:E24"/>
    <mergeCell ref="F24:G24"/>
    <mergeCell ref="I24:J24"/>
    <mergeCell ref="K24:N24"/>
    <mergeCell ref="C21:E21"/>
    <mergeCell ref="F21:G21"/>
    <mergeCell ref="I21:J21"/>
    <mergeCell ref="K21:N21"/>
    <mergeCell ref="C22:E22"/>
    <mergeCell ref="F22:G22"/>
    <mergeCell ref="I22:J22"/>
    <mergeCell ref="K22:N22"/>
    <mergeCell ref="C19:E19"/>
    <mergeCell ref="F19:G19"/>
    <mergeCell ref="I19:J19"/>
    <mergeCell ref="K19:N19"/>
    <mergeCell ref="C20:E20"/>
    <mergeCell ref="F20:G20"/>
    <mergeCell ref="I20:J20"/>
    <mergeCell ref="K20:N20"/>
    <mergeCell ref="C17:E17"/>
    <mergeCell ref="F17:G17"/>
    <mergeCell ref="I17:J17"/>
    <mergeCell ref="K17:N17"/>
    <mergeCell ref="C18:E18"/>
    <mergeCell ref="F18:G18"/>
    <mergeCell ref="I18:J18"/>
    <mergeCell ref="K18:N18"/>
    <mergeCell ref="C15:E15"/>
    <mergeCell ref="F15:G15"/>
    <mergeCell ref="I15:J15"/>
    <mergeCell ref="K15:N15"/>
    <mergeCell ref="C16:E16"/>
    <mergeCell ref="F16:G16"/>
    <mergeCell ref="I16:J16"/>
    <mergeCell ref="K16:N16"/>
    <mergeCell ref="C13:E13"/>
    <mergeCell ref="F13:G13"/>
    <mergeCell ref="I13:J13"/>
    <mergeCell ref="K13:N13"/>
    <mergeCell ref="C14:E14"/>
    <mergeCell ref="F14:G14"/>
    <mergeCell ref="I14:J14"/>
    <mergeCell ref="K14:N14"/>
    <mergeCell ref="C11:E11"/>
    <mergeCell ref="F11:G11"/>
    <mergeCell ref="I11:J11"/>
    <mergeCell ref="K11:N11"/>
    <mergeCell ref="C12:E12"/>
    <mergeCell ref="F12:G12"/>
    <mergeCell ref="I12:J12"/>
    <mergeCell ref="K12:N12"/>
    <mergeCell ref="C9:E9"/>
    <mergeCell ref="F9:G9"/>
    <mergeCell ref="I9:J9"/>
    <mergeCell ref="K9:N9"/>
    <mergeCell ref="C10:E10"/>
    <mergeCell ref="F10:G10"/>
    <mergeCell ref="I10:J10"/>
    <mergeCell ref="K10:N10"/>
    <mergeCell ref="C7:E7"/>
    <mergeCell ref="F7:G7"/>
    <mergeCell ref="I7:J7"/>
    <mergeCell ref="K7:N7"/>
    <mergeCell ref="C8:E8"/>
    <mergeCell ref="F8:G8"/>
    <mergeCell ref="I8:J8"/>
    <mergeCell ref="K8:N8"/>
    <mergeCell ref="C5:E5"/>
    <mergeCell ref="F5:G5"/>
    <mergeCell ref="I5:J5"/>
    <mergeCell ref="K5:N5"/>
    <mergeCell ref="C6:E6"/>
    <mergeCell ref="F6:G6"/>
    <mergeCell ref="I6:J6"/>
    <mergeCell ref="K6:N6"/>
    <mergeCell ref="B2:E3"/>
    <mergeCell ref="F2:H3"/>
    <mergeCell ref="J2:K2"/>
    <mergeCell ref="M2:N2"/>
    <mergeCell ref="J3:N3"/>
    <mergeCell ref="B4:D4"/>
    <mergeCell ref="E4:F4"/>
    <mergeCell ref="J4:N4"/>
  </mergeCells>
  <printOptions horizontalCentered="1" verticalCentered="1"/>
  <pageMargins left="0" right="0.23622047244094491" top="0" bottom="0.17" header="0" footer="0.4"/>
  <pageSetup paperSize="9" scale="71" orientation="portrait" r:id="rId1"/>
  <colBreaks count="2" manualBreakCount="2">
    <brk id="1" max="1048575" man="1"/>
    <brk id="10" min="1" max="32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B1:N33"/>
  <sheetViews>
    <sheetView rightToLeft="1" showWhiteSpace="0" topLeftCell="C1" zoomScale="70" zoomScaleNormal="70" zoomScalePageLayoutView="40" workbookViewId="0">
      <selection activeCell="T1" sqref="T1:V1048576"/>
    </sheetView>
  </sheetViews>
  <sheetFormatPr defaultRowHeight="13.8" x14ac:dyDescent="0.25"/>
  <cols>
    <col min="2" max="2" width="5.5" customWidth="1"/>
    <col min="3" max="3" width="4.19921875" customWidth="1"/>
    <col min="4" max="4" width="7.19921875" customWidth="1"/>
    <col min="5" max="5" width="4" customWidth="1"/>
    <col min="6" max="6" width="15.59765625" customWidth="1"/>
    <col min="7" max="7" width="17.09765625" customWidth="1"/>
    <col min="8" max="8" width="19.69921875" customWidth="1"/>
    <col min="9" max="9" width="12.5" bestFit="1" customWidth="1"/>
    <col min="10" max="10" width="4.69921875" customWidth="1"/>
    <col min="11" max="11" width="13.5" customWidth="1"/>
    <col min="12" max="13" width="9.5" customWidth="1"/>
    <col min="14" max="14" width="5.09765625" customWidth="1"/>
  </cols>
  <sheetData>
    <row r="1" spans="2:14" ht="14.4" thickBot="1" x14ac:dyDescent="0.3"/>
    <row r="2" spans="2:14" ht="24.6" customHeight="1" thickBot="1" x14ac:dyDescent="0.8">
      <c r="B2" s="81"/>
      <c r="C2" s="81"/>
      <c r="D2" s="81"/>
      <c r="E2" s="81"/>
      <c r="F2" s="82" t="s">
        <v>18</v>
      </c>
      <c r="G2" s="82"/>
      <c r="H2" s="82"/>
      <c r="I2" s="40" t="s">
        <v>0</v>
      </c>
      <c r="J2" s="83"/>
      <c r="K2" s="84"/>
      <c r="L2" s="40" t="s">
        <v>1</v>
      </c>
      <c r="M2" s="83"/>
      <c r="N2" s="84"/>
    </row>
    <row r="3" spans="2:14" ht="34.950000000000003" customHeight="1" thickBot="1" x14ac:dyDescent="0.3">
      <c r="B3" s="81"/>
      <c r="C3" s="81"/>
      <c r="D3" s="81"/>
      <c r="E3" s="81"/>
      <c r="F3" s="82"/>
      <c r="G3" s="82"/>
      <c r="H3" s="82"/>
      <c r="I3" s="9" t="s">
        <v>4</v>
      </c>
      <c r="J3" s="85"/>
      <c r="K3" s="85"/>
      <c r="L3" s="85"/>
      <c r="M3" s="85"/>
      <c r="N3" s="86"/>
    </row>
    <row r="4" spans="2:14" ht="24" thickBot="1" x14ac:dyDescent="0.8">
      <c r="B4" s="87" t="s">
        <v>2</v>
      </c>
      <c r="C4" s="87"/>
      <c r="D4" s="88"/>
      <c r="E4" s="84"/>
      <c r="F4" s="89"/>
      <c r="G4" s="40" t="s">
        <v>3</v>
      </c>
      <c r="H4" s="2"/>
      <c r="I4" s="40" t="s">
        <v>5</v>
      </c>
      <c r="J4" s="83"/>
      <c r="K4" s="83"/>
      <c r="L4" s="83"/>
      <c r="M4" s="83"/>
      <c r="N4" s="84"/>
    </row>
    <row r="5" spans="2:14" s="1" customFormat="1" ht="29.4" customHeight="1" thickBot="1" x14ac:dyDescent="0.3">
      <c r="B5" s="36" t="s">
        <v>6</v>
      </c>
      <c r="C5" s="100" t="s">
        <v>7</v>
      </c>
      <c r="D5" s="100"/>
      <c r="E5" s="100"/>
      <c r="F5" s="100" t="s">
        <v>8</v>
      </c>
      <c r="G5" s="100"/>
      <c r="H5" s="36" t="s">
        <v>9</v>
      </c>
      <c r="I5" s="97" t="s">
        <v>10</v>
      </c>
      <c r="J5" s="99"/>
      <c r="K5" s="97" t="s">
        <v>11</v>
      </c>
      <c r="L5" s="98"/>
      <c r="M5" s="98"/>
      <c r="N5" s="99"/>
    </row>
    <row r="6" spans="2:14" ht="27.6" thickBot="1" x14ac:dyDescent="1.05">
      <c r="B6" s="6">
        <v>1</v>
      </c>
      <c r="C6" s="90">
        <v>44948</v>
      </c>
      <c r="D6" s="91"/>
      <c r="E6" s="92"/>
      <c r="F6" s="93" t="s">
        <v>59</v>
      </c>
      <c r="G6" s="93"/>
      <c r="H6" s="4">
        <v>1400000</v>
      </c>
      <c r="I6" s="94">
        <v>279</v>
      </c>
      <c r="J6" s="95"/>
      <c r="K6" s="94"/>
      <c r="L6" s="96"/>
      <c r="M6" s="96"/>
      <c r="N6" s="95"/>
    </row>
    <row r="7" spans="2:14" ht="27.6" thickBot="1" x14ac:dyDescent="1.05">
      <c r="B7" s="6">
        <v>2</v>
      </c>
      <c r="C7" s="90">
        <v>45001</v>
      </c>
      <c r="D7" s="91"/>
      <c r="E7" s="92"/>
      <c r="F7" s="93" t="s">
        <v>154</v>
      </c>
      <c r="G7" s="93"/>
      <c r="H7" s="4">
        <v>550000</v>
      </c>
      <c r="I7" s="94">
        <v>280</v>
      </c>
      <c r="J7" s="95"/>
      <c r="K7" s="94"/>
      <c r="L7" s="96"/>
      <c r="M7" s="96"/>
      <c r="N7" s="95"/>
    </row>
    <row r="8" spans="2:14" ht="27.6" thickBot="1" x14ac:dyDescent="1.05">
      <c r="B8" s="6">
        <v>3</v>
      </c>
      <c r="C8" s="90">
        <v>45002</v>
      </c>
      <c r="D8" s="91"/>
      <c r="E8" s="92"/>
      <c r="F8" s="93" t="s">
        <v>155</v>
      </c>
      <c r="G8" s="93"/>
      <c r="H8" s="4">
        <v>3745000</v>
      </c>
      <c r="I8" s="94">
        <v>281</v>
      </c>
      <c r="J8" s="95"/>
      <c r="K8" s="94"/>
      <c r="L8" s="96"/>
      <c r="M8" s="96"/>
      <c r="N8" s="95"/>
    </row>
    <row r="9" spans="2:14" s="1" customFormat="1" ht="27.6" thickBot="1" x14ac:dyDescent="0.35">
      <c r="B9" s="14">
        <v>4</v>
      </c>
      <c r="C9" s="90">
        <v>45003</v>
      </c>
      <c r="D9" s="91"/>
      <c r="E9" s="92"/>
      <c r="F9" s="115" t="s">
        <v>156</v>
      </c>
      <c r="G9" s="115"/>
      <c r="H9" s="15">
        <v>2450000</v>
      </c>
      <c r="I9" s="94">
        <v>282</v>
      </c>
      <c r="J9" s="95"/>
      <c r="K9" s="97"/>
      <c r="L9" s="98"/>
      <c r="M9" s="98"/>
      <c r="N9" s="99"/>
    </row>
    <row r="10" spans="2:14" ht="27.6" thickBot="1" x14ac:dyDescent="1.05">
      <c r="B10" s="6">
        <v>5</v>
      </c>
      <c r="C10" s="90">
        <v>45014</v>
      </c>
      <c r="D10" s="91"/>
      <c r="E10" s="92"/>
      <c r="F10" s="93" t="s">
        <v>41</v>
      </c>
      <c r="G10" s="93"/>
      <c r="H10" s="4">
        <v>1500000</v>
      </c>
      <c r="I10" s="94">
        <v>283</v>
      </c>
      <c r="J10" s="95"/>
      <c r="K10" s="94"/>
      <c r="L10" s="96"/>
      <c r="M10" s="96"/>
      <c r="N10" s="95"/>
    </row>
    <row r="11" spans="2:14" ht="27.6" thickBot="1" x14ac:dyDescent="1.05">
      <c r="B11" s="6">
        <v>6</v>
      </c>
      <c r="C11" s="90">
        <v>45021</v>
      </c>
      <c r="D11" s="91"/>
      <c r="E11" s="92"/>
      <c r="F11" s="93" t="s">
        <v>157</v>
      </c>
      <c r="G11" s="93"/>
      <c r="H11" s="4">
        <v>300000</v>
      </c>
      <c r="I11" s="94">
        <v>284</v>
      </c>
      <c r="J11" s="95"/>
      <c r="K11" s="94"/>
      <c r="L11" s="96"/>
      <c r="M11" s="96"/>
      <c r="N11" s="95"/>
    </row>
    <row r="12" spans="2:14" ht="27.6" thickBot="1" x14ac:dyDescent="1.05">
      <c r="B12" s="6">
        <v>7</v>
      </c>
      <c r="C12" s="90">
        <v>45021</v>
      </c>
      <c r="D12" s="91"/>
      <c r="E12" s="92"/>
      <c r="F12" s="93" t="s">
        <v>158</v>
      </c>
      <c r="G12" s="93"/>
      <c r="H12" s="4">
        <v>360000</v>
      </c>
      <c r="I12" s="94">
        <v>285</v>
      </c>
      <c r="J12" s="95"/>
      <c r="K12" s="94"/>
      <c r="L12" s="96"/>
      <c r="M12" s="96"/>
      <c r="N12" s="95"/>
    </row>
    <row r="13" spans="2:14" ht="27.6" thickBot="1" x14ac:dyDescent="1.05">
      <c r="B13" s="6">
        <v>8</v>
      </c>
      <c r="C13" s="90">
        <v>45022</v>
      </c>
      <c r="D13" s="91"/>
      <c r="E13" s="92"/>
      <c r="F13" s="93" t="s">
        <v>33</v>
      </c>
      <c r="G13" s="93"/>
      <c r="H13" s="4">
        <v>1000000</v>
      </c>
      <c r="I13" s="94">
        <v>286</v>
      </c>
      <c r="J13" s="95"/>
      <c r="K13" s="94"/>
      <c r="L13" s="96"/>
      <c r="M13" s="96"/>
      <c r="N13" s="95"/>
    </row>
    <row r="14" spans="2:14" ht="27.6" thickBot="1" x14ac:dyDescent="1.05">
      <c r="B14" s="6">
        <v>9</v>
      </c>
      <c r="C14" s="90">
        <v>45025</v>
      </c>
      <c r="D14" s="91"/>
      <c r="E14" s="92"/>
      <c r="F14" s="93" t="s">
        <v>80</v>
      </c>
      <c r="G14" s="93"/>
      <c r="H14" s="4">
        <v>1000000</v>
      </c>
      <c r="I14" s="94">
        <v>287</v>
      </c>
      <c r="J14" s="95"/>
      <c r="K14" s="94"/>
      <c r="L14" s="96"/>
      <c r="M14" s="96"/>
      <c r="N14" s="95"/>
    </row>
    <row r="15" spans="2:14" ht="27.6" thickBot="1" x14ac:dyDescent="1.05">
      <c r="B15" s="6">
        <v>10</v>
      </c>
      <c r="C15" s="90">
        <v>45025</v>
      </c>
      <c r="D15" s="91"/>
      <c r="E15" s="92"/>
      <c r="F15" s="93" t="s">
        <v>159</v>
      </c>
      <c r="G15" s="93"/>
      <c r="H15" s="4">
        <v>6500000</v>
      </c>
      <c r="I15" s="94">
        <v>288</v>
      </c>
      <c r="J15" s="95"/>
      <c r="K15" s="94"/>
      <c r="L15" s="96"/>
      <c r="M15" s="96"/>
      <c r="N15" s="95"/>
    </row>
    <row r="16" spans="2:14" ht="27.6" thickBot="1" x14ac:dyDescent="1.05">
      <c r="B16" s="6">
        <v>11</v>
      </c>
      <c r="C16" s="90">
        <v>45025</v>
      </c>
      <c r="D16" s="91"/>
      <c r="E16" s="92"/>
      <c r="F16" s="93" t="s">
        <v>45</v>
      </c>
      <c r="G16" s="93"/>
      <c r="H16" s="4">
        <v>3000000</v>
      </c>
      <c r="I16" s="94">
        <v>289</v>
      </c>
      <c r="J16" s="95"/>
      <c r="K16" s="94"/>
      <c r="L16" s="96"/>
      <c r="M16" s="96"/>
      <c r="N16" s="95"/>
    </row>
    <row r="17" spans="2:14" ht="27.6" thickBot="1" x14ac:dyDescent="1.05">
      <c r="B17" s="6">
        <v>12</v>
      </c>
      <c r="C17" s="90">
        <v>45026</v>
      </c>
      <c r="D17" s="91"/>
      <c r="E17" s="92"/>
      <c r="F17" s="93" t="s">
        <v>160</v>
      </c>
      <c r="G17" s="93"/>
      <c r="H17" s="4">
        <v>2100000</v>
      </c>
      <c r="I17" s="94">
        <v>290</v>
      </c>
      <c r="J17" s="95"/>
      <c r="K17" s="94"/>
      <c r="L17" s="96"/>
      <c r="M17" s="96"/>
      <c r="N17" s="95"/>
    </row>
    <row r="18" spans="2:14" ht="27.6" thickBot="1" x14ac:dyDescent="1.05">
      <c r="B18" s="6">
        <v>13</v>
      </c>
      <c r="C18" s="90">
        <v>45026</v>
      </c>
      <c r="D18" s="91"/>
      <c r="E18" s="92"/>
      <c r="F18" s="93" t="s">
        <v>161</v>
      </c>
      <c r="G18" s="93"/>
      <c r="H18" s="4">
        <v>700000</v>
      </c>
      <c r="I18" s="94">
        <v>291</v>
      </c>
      <c r="J18" s="95"/>
      <c r="K18" s="94"/>
      <c r="L18" s="96"/>
      <c r="M18" s="96"/>
      <c r="N18" s="95"/>
    </row>
    <row r="19" spans="2:14" ht="27.6" thickBot="1" x14ac:dyDescent="1.05">
      <c r="B19" s="6">
        <v>14</v>
      </c>
      <c r="C19" s="90">
        <v>45026</v>
      </c>
      <c r="D19" s="91"/>
      <c r="E19" s="92"/>
      <c r="F19" s="93" t="s">
        <v>162</v>
      </c>
      <c r="G19" s="93"/>
      <c r="H19" s="4">
        <v>47580000</v>
      </c>
      <c r="I19" s="94">
        <v>292</v>
      </c>
      <c r="J19" s="95"/>
      <c r="K19" s="94"/>
      <c r="L19" s="96"/>
      <c r="M19" s="96"/>
      <c r="N19" s="95"/>
    </row>
    <row r="20" spans="2:14" ht="27.6" thickBot="1" x14ac:dyDescent="1.05">
      <c r="B20" s="6">
        <v>15</v>
      </c>
      <c r="C20" s="90">
        <v>45027</v>
      </c>
      <c r="D20" s="91"/>
      <c r="E20" s="92"/>
      <c r="F20" s="93" t="s">
        <v>163</v>
      </c>
      <c r="G20" s="93"/>
      <c r="H20" s="4">
        <v>91500000</v>
      </c>
      <c r="I20" s="94">
        <v>293</v>
      </c>
      <c r="J20" s="95"/>
      <c r="K20" s="94"/>
      <c r="L20" s="96"/>
      <c r="M20" s="96"/>
      <c r="N20" s="95"/>
    </row>
    <row r="21" spans="2:14" ht="27.6" thickBot="1" x14ac:dyDescent="1.05">
      <c r="B21" s="6">
        <v>16</v>
      </c>
      <c r="C21" s="90">
        <v>45025</v>
      </c>
      <c r="D21" s="91"/>
      <c r="E21" s="92"/>
      <c r="F21" s="93" t="s">
        <v>164</v>
      </c>
      <c r="G21" s="93"/>
      <c r="H21" s="4">
        <v>820000</v>
      </c>
      <c r="I21" s="94">
        <v>294</v>
      </c>
      <c r="J21" s="95"/>
      <c r="K21" s="94"/>
      <c r="L21" s="96"/>
      <c r="M21" s="96"/>
      <c r="N21" s="95"/>
    </row>
    <row r="22" spans="2:14" ht="27.6" thickBot="1" x14ac:dyDescent="1.05">
      <c r="B22" s="6">
        <v>17</v>
      </c>
      <c r="C22" s="90">
        <v>45027</v>
      </c>
      <c r="D22" s="91"/>
      <c r="E22" s="92"/>
      <c r="F22" s="93" t="s">
        <v>165</v>
      </c>
      <c r="G22" s="93"/>
      <c r="H22" s="4">
        <v>1100000</v>
      </c>
      <c r="I22" s="94">
        <v>295</v>
      </c>
      <c r="J22" s="95"/>
      <c r="K22" s="94"/>
      <c r="L22" s="96"/>
      <c r="M22" s="96"/>
      <c r="N22" s="95"/>
    </row>
    <row r="23" spans="2:14" ht="27.6" thickBot="1" x14ac:dyDescent="1.05">
      <c r="B23" s="6">
        <v>18</v>
      </c>
      <c r="C23" s="90">
        <v>45027</v>
      </c>
      <c r="D23" s="91"/>
      <c r="E23" s="92"/>
      <c r="F23" s="93" t="s">
        <v>166</v>
      </c>
      <c r="G23" s="93"/>
      <c r="H23" s="4">
        <v>6600000</v>
      </c>
      <c r="I23" s="94">
        <v>296</v>
      </c>
      <c r="J23" s="95"/>
      <c r="K23" s="94"/>
      <c r="L23" s="96"/>
      <c r="M23" s="96"/>
      <c r="N23" s="95"/>
    </row>
    <row r="24" spans="2:14" ht="27.6" thickBot="1" x14ac:dyDescent="1.05">
      <c r="B24" s="6">
        <v>19</v>
      </c>
      <c r="C24" s="90">
        <v>45014</v>
      </c>
      <c r="D24" s="91"/>
      <c r="E24" s="92"/>
      <c r="F24" s="93" t="s">
        <v>167</v>
      </c>
      <c r="G24" s="93"/>
      <c r="H24" s="4">
        <v>1190000</v>
      </c>
      <c r="I24" s="94">
        <v>297</v>
      </c>
      <c r="J24" s="95"/>
      <c r="K24" s="94"/>
      <c r="L24" s="96"/>
      <c r="M24" s="96"/>
      <c r="N24" s="95"/>
    </row>
    <row r="25" spans="2:14" ht="27.6" thickBot="1" x14ac:dyDescent="1.05">
      <c r="B25" s="6">
        <v>20</v>
      </c>
      <c r="C25" s="90">
        <v>45027</v>
      </c>
      <c r="D25" s="91"/>
      <c r="E25" s="92"/>
      <c r="F25" s="93" t="s">
        <v>168</v>
      </c>
      <c r="G25" s="93"/>
      <c r="H25" s="4">
        <v>1470000</v>
      </c>
      <c r="I25" s="94">
        <v>298</v>
      </c>
      <c r="J25" s="95"/>
      <c r="K25" s="94"/>
      <c r="L25" s="96"/>
      <c r="M25" s="96"/>
      <c r="N25" s="95"/>
    </row>
    <row r="26" spans="2:14" ht="27.6" thickBot="1" x14ac:dyDescent="1.05">
      <c r="B26" s="6">
        <v>21</v>
      </c>
      <c r="C26" s="90">
        <v>45027</v>
      </c>
      <c r="D26" s="91"/>
      <c r="E26" s="92"/>
      <c r="F26" s="93" t="s">
        <v>169</v>
      </c>
      <c r="G26" s="93"/>
      <c r="H26" s="4">
        <v>2500000</v>
      </c>
      <c r="I26" s="94">
        <v>299</v>
      </c>
      <c r="J26" s="95"/>
      <c r="K26" s="94"/>
      <c r="L26" s="96"/>
      <c r="M26" s="96"/>
      <c r="N26" s="95"/>
    </row>
    <row r="27" spans="2:14" ht="27.6" thickBot="1" x14ac:dyDescent="1.05">
      <c r="B27" s="6">
        <v>22</v>
      </c>
      <c r="C27" s="90">
        <v>45031</v>
      </c>
      <c r="D27" s="91"/>
      <c r="E27" s="92"/>
      <c r="F27" s="93" t="s">
        <v>44</v>
      </c>
      <c r="G27" s="93"/>
      <c r="H27" s="4">
        <v>2000000</v>
      </c>
      <c r="I27" s="94">
        <v>300</v>
      </c>
      <c r="J27" s="95"/>
      <c r="K27" s="94"/>
      <c r="L27" s="96"/>
      <c r="M27" s="96"/>
      <c r="N27" s="95"/>
    </row>
    <row r="28" spans="2:14" ht="27.6" thickBot="1" x14ac:dyDescent="1.05">
      <c r="B28" s="6">
        <v>23</v>
      </c>
      <c r="C28" s="90">
        <v>45031</v>
      </c>
      <c r="D28" s="91"/>
      <c r="E28" s="92"/>
      <c r="F28" s="93" t="s">
        <v>45</v>
      </c>
      <c r="G28" s="93"/>
      <c r="H28" s="4">
        <v>3500000</v>
      </c>
      <c r="I28" s="94">
        <v>301</v>
      </c>
      <c r="J28" s="95"/>
      <c r="K28" s="94"/>
      <c r="L28" s="96"/>
      <c r="M28" s="96"/>
      <c r="N28" s="95"/>
    </row>
    <row r="29" spans="2:14" ht="27.6" thickBot="1" x14ac:dyDescent="1.05">
      <c r="B29" s="6">
        <v>24</v>
      </c>
      <c r="C29" s="90">
        <v>45031</v>
      </c>
      <c r="D29" s="91"/>
      <c r="E29" s="92"/>
      <c r="F29" s="93" t="s">
        <v>170</v>
      </c>
      <c r="G29" s="93"/>
      <c r="H29" s="4">
        <v>2000000</v>
      </c>
      <c r="I29" s="94">
        <v>302</v>
      </c>
      <c r="J29" s="95"/>
      <c r="K29" s="94"/>
      <c r="L29" s="96"/>
      <c r="M29" s="96"/>
      <c r="N29" s="95"/>
    </row>
    <row r="30" spans="2:14" ht="27.6" thickBot="1" x14ac:dyDescent="1.05">
      <c r="B30" s="6">
        <v>25</v>
      </c>
      <c r="C30" s="90">
        <v>45031</v>
      </c>
      <c r="D30" s="91"/>
      <c r="E30" s="92"/>
      <c r="F30" s="94" t="s">
        <v>144</v>
      </c>
      <c r="G30" s="95"/>
      <c r="H30" s="5">
        <v>2300000</v>
      </c>
      <c r="I30" s="94">
        <v>303</v>
      </c>
      <c r="J30" s="95"/>
      <c r="K30" s="37"/>
      <c r="L30" s="39"/>
      <c r="M30" s="39"/>
      <c r="N30" s="38"/>
    </row>
    <row r="31" spans="2:14" s="1" customFormat="1" ht="29.4" customHeight="1" thickTop="1" thickBot="1" x14ac:dyDescent="0.3">
      <c r="B31" s="102" t="s">
        <v>12</v>
      </c>
      <c r="C31" s="102"/>
      <c r="D31" s="102"/>
      <c r="E31" s="102"/>
      <c r="F31" s="102"/>
      <c r="G31" s="103">
        <f>SUM(H6:H30)</f>
        <v>187165000</v>
      </c>
      <c r="H31" s="104"/>
      <c r="I31" s="104"/>
      <c r="J31" s="105"/>
      <c r="K31" s="106"/>
      <c r="L31" s="107"/>
      <c r="M31" s="107"/>
      <c r="N31" s="108"/>
    </row>
    <row r="32" spans="2:14" s="1" customFormat="1" ht="29.4" customHeight="1" thickBot="1" x14ac:dyDescent="0.3">
      <c r="B32" s="100" t="s">
        <v>13</v>
      </c>
      <c r="C32" s="100"/>
      <c r="D32" s="100"/>
      <c r="E32" s="100"/>
      <c r="F32" s="100"/>
      <c r="G32" s="109"/>
      <c r="H32" s="110"/>
      <c r="I32" s="110"/>
      <c r="J32" s="111"/>
      <c r="K32" s="97"/>
      <c r="L32" s="98"/>
      <c r="M32" s="98"/>
      <c r="N32" s="99"/>
    </row>
    <row r="33" spans="2:14" ht="82.2" customHeight="1" thickBot="1" x14ac:dyDescent="0.3">
      <c r="B33" s="101" t="s">
        <v>14</v>
      </c>
      <c r="C33" s="101"/>
      <c r="D33" s="101"/>
      <c r="E33" s="101"/>
      <c r="F33" s="101" t="s">
        <v>15</v>
      </c>
      <c r="G33" s="101"/>
      <c r="H33" s="101" t="s">
        <v>16</v>
      </c>
      <c r="I33" s="101"/>
      <c r="J33" s="101" t="s">
        <v>17</v>
      </c>
      <c r="K33" s="101"/>
      <c r="L33" s="101"/>
      <c r="M33" s="101"/>
      <c r="N33" s="101"/>
    </row>
  </sheetData>
  <mergeCells count="121">
    <mergeCell ref="B2:E3"/>
    <mergeCell ref="F2:H3"/>
    <mergeCell ref="J2:K2"/>
    <mergeCell ref="M2:N2"/>
    <mergeCell ref="J3:N3"/>
    <mergeCell ref="B4:D4"/>
    <mergeCell ref="E4:F4"/>
    <mergeCell ref="J4:N4"/>
    <mergeCell ref="C9:E9"/>
    <mergeCell ref="F9:G9"/>
    <mergeCell ref="I9:J9"/>
    <mergeCell ref="K9:N9"/>
    <mergeCell ref="C7:E7"/>
    <mergeCell ref="F7:G7"/>
    <mergeCell ref="I7:J7"/>
    <mergeCell ref="K7:N7"/>
    <mergeCell ref="C5:E5"/>
    <mergeCell ref="F5:G5"/>
    <mergeCell ref="I5:J5"/>
    <mergeCell ref="K5:N5"/>
    <mergeCell ref="C6:E6"/>
    <mergeCell ref="F6:G6"/>
    <mergeCell ref="I6:J6"/>
    <mergeCell ref="K6:N6"/>
    <mergeCell ref="C10:E10"/>
    <mergeCell ref="F10:G10"/>
    <mergeCell ref="I10:J10"/>
    <mergeCell ref="K10:N10"/>
    <mergeCell ref="C8:E8"/>
    <mergeCell ref="F8:G8"/>
    <mergeCell ref="I8:J8"/>
    <mergeCell ref="K8:N8"/>
    <mergeCell ref="C13:E13"/>
    <mergeCell ref="F13:G13"/>
    <mergeCell ref="I13:J13"/>
    <mergeCell ref="K13:N13"/>
    <mergeCell ref="C14:E14"/>
    <mergeCell ref="F14:G14"/>
    <mergeCell ref="I14:J14"/>
    <mergeCell ref="K14:N14"/>
    <mergeCell ref="C11:E11"/>
    <mergeCell ref="F11:G11"/>
    <mergeCell ref="I11:J11"/>
    <mergeCell ref="K11:N11"/>
    <mergeCell ref="C12:E12"/>
    <mergeCell ref="F12:G12"/>
    <mergeCell ref="I12:J12"/>
    <mergeCell ref="K12:N12"/>
    <mergeCell ref="C17:E17"/>
    <mergeCell ref="F17:G17"/>
    <mergeCell ref="I17:J17"/>
    <mergeCell ref="K17:N17"/>
    <mergeCell ref="C18:E18"/>
    <mergeCell ref="F18:G18"/>
    <mergeCell ref="I18:J18"/>
    <mergeCell ref="K18:N18"/>
    <mergeCell ref="C15:E15"/>
    <mergeCell ref="F15:G15"/>
    <mergeCell ref="I15:J15"/>
    <mergeCell ref="K15:N15"/>
    <mergeCell ref="C16:E16"/>
    <mergeCell ref="F16:G16"/>
    <mergeCell ref="I16:J16"/>
    <mergeCell ref="K16:N16"/>
    <mergeCell ref="C21:E21"/>
    <mergeCell ref="F21:G21"/>
    <mergeCell ref="I21:J21"/>
    <mergeCell ref="K21:N21"/>
    <mergeCell ref="C22:E22"/>
    <mergeCell ref="F22:G22"/>
    <mergeCell ref="I22:J22"/>
    <mergeCell ref="K22:N22"/>
    <mergeCell ref="C19:E19"/>
    <mergeCell ref="F19:G19"/>
    <mergeCell ref="I19:J19"/>
    <mergeCell ref="K19:N19"/>
    <mergeCell ref="C20:E20"/>
    <mergeCell ref="F20:G20"/>
    <mergeCell ref="I20:J20"/>
    <mergeCell ref="K20:N20"/>
    <mergeCell ref="C25:E25"/>
    <mergeCell ref="F25:G25"/>
    <mergeCell ref="I25:J25"/>
    <mergeCell ref="K25:N25"/>
    <mergeCell ref="C26:E26"/>
    <mergeCell ref="F26:G26"/>
    <mergeCell ref="I26:J26"/>
    <mergeCell ref="K26:N26"/>
    <mergeCell ref="C23:E23"/>
    <mergeCell ref="F23:G23"/>
    <mergeCell ref="I23:J23"/>
    <mergeCell ref="K23:N23"/>
    <mergeCell ref="C24:E24"/>
    <mergeCell ref="F24:G24"/>
    <mergeCell ref="I24:J24"/>
    <mergeCell ref="K24:N24"/>
    <mergeCell ref="C29:E29"/>
    <mergeCell ref="F29:G29"/>
    <mergeCell ref="I29:J29"/>
    <mergeCell ref="K29:N29"/>
    <mergeCell ref="C30:E30"/>
    <mergeCell ref="F30:G30"/>
    <mergeCell ref="I30:J30"/>
    <mergeCell ref="C27:E27"/>
    <mergeCell ref="F27:G27"/>
    <mergeCell ref="I27:J27"/>
    <mergeCell ref="K27:N27"/>
    <mergeCell ref="C28:E28"/>
    <mergeCell ref="F28:G28"/>
    <mergeCell ref="I28:J28"/>
    <mergeCell ref="K28:N28"/>
    <mergeCell ref="B33:E33"/>
    <mergeCell ref="F33:G33"/>
    <mergeCell ref="H33:I33"/>
    <mergeCell ref="J33:N33"/>
    <mergeCell ref="B31:F31"/>
    <mergeCell ref="G31:J31"/>
    <mergeCell ref="K31:N31"/>
    <mergeCell ref="B32:F32"/>
    <mergeCell ref="G32:J32"/>
    <mergeCell ref="K32:N32"/>
  </mergeCells>
  <printOptions horizontalCentered="1" verticalCentered="1"/>
  <pageMargins left="0" right="0.23622047244094491" top="0" bottom="0.17" header="0" footer="0.4"/>
  <pageSetup paperSize="9" scale="71" orientation="portrait" r:id="rId1"/>
  <colBreaks count="2" manualBreakCount="2">
    <brk id="1" max="1048575" man="1"/>
    <brk id="10" min="1" max="32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B1:N33"/>
  <sheetViews>
    <sheetView rightToLeft="1" showWhiteSpace="0" topLeftCell="C1" zoomScale="70" zoomScaleNormal="70" zoomScalePageLayoutView="40" workbookViewId="0">
      <selection activeCell="T1" sqref="T1:V1048576"/>
    </sheetView>
  </sheetViews>
  <sheetFormatPr defaultRowHeight="13.8" x14ac:dyDescent="0.25"/>
  <cols>
    <col min="2" max="2" width="5.5" customWidth="1"/>
    <col min="3" max="3" width="4.19921875" customWidth="1"/>
    <col min="4" max="4" width="7.19921875" customWidth="1"/>
    <col min="5" max="5" width="4" customWidth="1"/>
    <col min="6" max="6" width="15.59765625" customWidth="1"/>
    <col min="7" max="7" width="17.09765625" customWidth="1"/>
    <col min="8" max="8" width="19.69921875" customWidth="1"/>
    <col min="9" max="9" width="12.5" bestFit="1" customWidth="1"/>
    <col min="10" max="10" width="4.69921875" customWidth="1"/>
    <col min="11" max="11" width="13.5" customWidth="1"/>
    <col min="12" max="13" width="9.5" customWidth="1"/>
    <col min="14" max="14" width="5.09765625" customWidth="1"/>
  </cols>
  <sheetData>
    <row r="1" spans="2:14" ht="14.4" thickBot="1" x14ac:dyDescent="0.3"/>
    <row r="2" spans="2:14" ht="24.6" customHeight="1" thickBot="1" x14ac:dyDescent="0.8">
      <c r="B2" s="81"/>
      <c r="C2" s="81"/>
      <c r="D2" s="81"/>
      <c r="E2" s="81"/>
      <c r="F2" s="82" t="s">
        <v>18</v>
      </c>
      <c r="G2" s="82"/>
      <c r="H2" s="82"/>
      <c r="I2" s="31" t="s">
        <v>0</v>
      </c>
      <c r="J2" s="83"/>
      <c r="K2" s="84"/>
      <c r="L2" s="31" t="s">
        <v>1</v>
      </c>
      <c r="M2" s="83"/>
      <c r="N2" s="84"/>
    </row>
    <row r="3" spans="2:14" ht="34.950000000000003" customHeight="1" thickBot="1" x14ac:dyDescent="0.3">
      <c r="B3" s="81"/>
      <c r="C3" s="81"/>
      <c r="D3" s="81"/>
      <c r="E3" s="81"/>
      <c r="F3" s="82"/>
      <c r="G3" s="82"/>
      <c r="H3" s="82"/>
      <c r="I3" s="9" t="s">
        <v>4</v>
      </c>
      <c r="J3" s="85"/>
      <c r="K3" s="85"/>
      <c r="L3" s="85"/>
      <c r="M3" s="85"/>
      <c r="N3" s="86"/>
    </row>
    <row r="4" spans="2:14" ht="24" thickBot="1" x14ac:dyDescent="0.8">
      <c r="B4" s="87" t="s">
        <v>2</v>
      </c>
      <c r="C4" s="87"/>
      <c r="D4" s="88"/>
      <c r="E4" s="84"/>
      <c r="F4" s="89"/>
      <c r="G4" s="31" t="s">
        <v>3</v>
      </c>
      <c r="H4" s="2"/>
      <c r="I4" s="31" t="s">
        <v>5</v>
      </c>
      <c r="J4" s="83"/>
      <c r="K4" s="83"/>
      <c r="L4" s="83"/>
      <c r="M4" s="83"/>
      <c r="N4" s="84"/>
    </row>
    <row r="5" spans="2:14" s="1" customFormat="1" ht="29.4" customHeight="1" thickBot="1" x14ac:dyDescent="0.3">
      <c r="B5" s="35" t="s">
        <v>6</v>
      </c>
      <c r="C5" s="100" t="s">
        <v>7</v>
      </c>
      <c r="D5" s="100"/>
      <c r="E5" s="100"/>
      <c r="F5" s="100" t="s">
        <v>8</v>
      </c>
      <c r="G5" s="100"/>
      <c r="H5" s="35" t="s">
        <v>9</v>
      </c>
      <c r="I5" s="97" t="s">
        <v>10</v>
      </c>
      <c r="J5" s="99"/>
      <c r="K5" s="97" t="s">
        <v>11</v>
      </c>
      <c r="L5" s="98"/>
      <c r="M5" s="98"/>
      <c r="N5" s="99"/>
    </row>
    <row r="6" spans="2:14" ht="27.6" thickBot="1" x14ac:dyDescent="1.05">
      <c r="B6" s="6">
        <v>1</v>
      </c>
      <c r="C6" s="90">
        <v>45013</v>
      </c>
      <c r="D6" s="91"/>
      <c r="E6" s="92"/>
      <c r="F6" s="93" t="s">
        <v>136</v>
      </c>
      <c r="G6" s="93"/>
      <c r="H6" s="4">
        <v>78690000</v>
      </c>
      <c r="I6" s="94">
        <v>254</v>
      </c>
      <c r="J6" s="95"/>
      <c r="K6" s="94"/>
      <c r="L6" s="96"/>
      <c r="M6" s="96"/>
      <c r="N6" s="95"/>
    </row>
    <row r="7" spans="2:14" ht="27.6" thickBot="1" x14ac:dyDescent="1.05">
      <c r="B7" s="6">
        <v>2</v>
      </c>
      <c r="C7" s="90">
        <v>45015</v>
      </c>
      <c r="D7" s="91"/>
      <c r="E7" s="92"/>
      <c r="F7" s="93" t="s">
        <v>137</v>
      </c>
      <c r="G7" s="93"/>
      <c r="H7" s="4">
        <v>24000000</v>
      </c>
      <c r="I7" s="94">
        <v>255</v>
      </c>
      <c r="J7" s="95"/>
      <c r="K7" s="94"/>
      <c r="L7" s="96"/>
      <c r="M7" s="96"/>
      <c r="N7" s="95"/>
    </row>
    <row r="8" spans="2:14" ht="27.6" thickBot="1" x14ac:dyDescent="1.05">
      <c r="B8" s="6">
        <v>3</v>
      </c>
      <c r="C8" s="90">
        <v>45019</v>
      </c>
      <c r="D8" s="91"/>
      <c r="E8" s="92"/>
      <c r="F8" s="93" t="s">
        <v>138</v>
      </c>
      <c r="G8" s="93"/>
      <c r="H8" s="4">
        <v>680000</v>
      </c>
      <c r="I8" s="94">
        <v>256</v>
      </c>
      <c r="J8" s="95"/>
      <c r="K8" s="94"/>
      <c r="L8" s="96"/>
      <c r="M8" s="96"/>
      <c r="N8" s="95"/>
    </row>
    <row r="9" spans="2:14" s="1" customFormat="1" ht="27.6" thickBot="1" x14ac:dyDescent="0.35">
      <c r="B9" s="14">
        <v>4</v>
      </c>
      <c r="C9" s="90">
        <v>45019</v>
      </c>
      <c r="D9" s="91"/>
      <c r="E9" s="92"/>
      <c r="F9" s="115" t="s">
        <v>123</v>
      </c>
      <c r="G9" s="115"/>
      <c r="H9" s="15">
        <v>1250000</v>
      </c>
      <c r="I9" s="94">
        <v>257</v>
      </c>
      <c r="J9" s="95"/>
      <c r="K9" s="97"/>
      <c r="L9" s="98"/>
      <c r="M9" s="98"/>
      <c r="N9" s="99"/>
    </row>
    <row r="10" spans="2:14" ht="27.6" thickBot="1" x14ac:dyDescent="1.05">
      <c r="B10" s="6">
        <v>5</v>
      </c>
      <c r="C10" s="90">
        <v>45019</v>
      </c>
      <c r="D10" s="91"/>
      <c r="E10" s="92"/>
      <c r="F10" s="93" t="s">
        <v>139</v>
      </c>
      <c r="G10" s="93"/>
      <c r="H10" s="4">
        <v>1000000</v>
      </c>
      <c r="I10" s="94">
        <v>258</v>
      </c>
      <c r="J10" s="95"/>
      <c r="K10" s="94"/>
      <c r="L10" s="96"/>
      <c r="M10" s="96"/>
      <c r="N10" s="95"/>
    </row>
    <row r="11" spans="2:14" ht="27.6" thickBot="1" x14ac:dyDescent="1.05">
      <c r="B11" s="6">
        <v>6</v>
      </c>
      <c r="C11" s="90">
        <v>45019</v>
      </c>
      <c r="D11" s="91"/>
      <c r="E11" s="92"/>
      <c r="F11" s="93" t="s">
        <v>140</v>
      </c>
      <c r="G11" s="93"/>
      <c r="H11" s="4">
        <v>160000</v>
      </c>
      <c r="I11" s="94">
        <v>259</v>
      </c>
      <c r="J11" s="95"/>
      <c r="K11" s="94"/>
      <c r="L11" s="96"/>
      <c r="M11" s="96"/>
      <c r="N11" s="95"/>
    </row>
    <row r="12" spans="2:14" ht="27.6" thickBot="1" x14ac:dyDescent="1.05">
      <c r="B12" s="6">
        <v>7</v>
      </c>
      <c r="C12" s="90">
        <v>45020</v>
      </c>
      <c r="D12" s="91"/>
      <c r="E12" s="92"/>
      <c r="F12" s="93" t="s">
        <v>141</v>
      </c>
      <c r="G12" s="93"/>
      <c r="H12" s="4">
        <v>250000</v>
      </c>
      <c r="I12" s="94">
        <v>260</v>
      </c>
      <c r="J12" s="95"/>
      <c r="K12" s="94"/>
      <c r="L12" s="96"/>
      <c r="M12" s="96"/>
      <c r="N12" s="95"/>
    </row>
    <row r="13" spans="2:14" ht="27.6" thickBot="1" x14ac:dyDescent="1.05">
      <c r="B13" s="6">
        <v>8</v>
      </c>
      <c r="C13" s="90">
        <v>44963</v>
      </c>
      <c r="D13" s="91"/>
      <c r="E13" s="92"/>
      <c r="F13" s="93" t="s">
        <v>142</v>
      </c>
      <c r="G13" s="93"/>
      <c r="H13" s="4">
        <v>10800000</v>
      </c>
      <c r="I13" s="94">
        <v>261</v>
      </c>
      <c r="J13" s="95"/>
      <c r="K13" s="94"/>
      <c r="L13" s="96"/>
      <c r="M13" s="96"/>
      <c r="N13" s="95"/>
    </row>
    <row r="14" spans="2:14" ht="27.6" thickBot="1" x14ac:dyDescent="1.05">
      <c r="B14" s="6">
        <v>9</v>
      </c>
      <c r="C14" s="90">
        <v>45021</v>
      </c>
      <c r="D14" s="91"/>
      <c r="E14" s="92"/>
      <c r="F14" s="93" t="s">
        <v>143</v>
      </c>
      <c r="G14" s="93"/>
      <c r="H14" s="4">
        <v>1050000</v>
      </c>
      <c r="I14" s="94">
        <v>262</v>
      </c>
      <c r="J14" s="95"/>
      <c r="K14" s="94"/>
      <c r="L14" s="96"/>
      <c r="M14" s="96"/>
      <c r="N14" s="95"/>
    </row>
    <row r="15" spans="2:14" ht="27.6" thickBot="1" x14ac:dyDescent="1.05">
      <c r="B15" s="6">
        <v>10</v>
      </c>
      <c r="C15" s="90">
        <v>45021</v>
      </c>
      <c r="D15" s="91"/>
      <c r="E15" s="92"/>
      <c r="F15" s="93" t="s">
        <v>144</v>
      </c>
      <c r="G15" s="93"/>
      <c r="H15" s="4">
        <v>1000000</v>
      </c>
      <c r="I15" s="94">
        <v>263</v>
      </c>
      <c r="J15" s="95"/>
      <c r="K15" s="94"/>
      <c r="L15" s="96"/>
      <c r="M15" s="96"/>
      <c r="N15" s="95"/>
    </row>
    <row r="16" spans="2:14" ht="27.6" thickBot="1" x14ac:dyDescent="1.05">
      <c r="B16" s="6">
        <v>11</v>
      </c>
      <c r="C16" s="90">
        <v>45021</v>
      </c>
      <c r="D16" s="91"/>
      <c r="E16" s="92"/>
      <c r="F16" s="93" t="s">
        <v>64</v>
      </c>
      <c r="G16" s="93"/>
      <c r="H16" s="4">
        <v>900000</v>
      </c>
      <c r="I16" s="94">
        <v>264</v>
      </c>
      <c r="J16" s="95"/>
      <c r="K16" s="94"/>
      <c r="L16" s="96"/>
      <c r="M16" s="96"/>
      <c r="N16" s="95"/>
    </row>
    <row r="17" spans="2:14" ht="27.6" thickBot="1" x14ac:dyDescent="1.05">
      <c r="B17" s="6">
        <v>12</v>
      </c>
      <c r="C17" s="90">
        <v>45021</v>
      </c>
      <c r="D17" s="91"/>
      <c r="E17" s="92"/>
      <c r="F17" s="93" t="s">
        <v>145</v>
      </c>
      <c r="G17" s="93"/>
      <c r="H17" s="4">
        <v>4000000</v>
      </c>
      <c r="I17" s="94">
        <v>265</v>
      </c>
      <c r="J17" s="95"/>
      <c r="K17" s="94"/>
      <c r="L17" s="96"/>
      <c r="M17" s="96"/>
      <c r="N17" s="95"/>
    </row>
    <row r="18" spans="2:14" ht="27.6" thickBot="1" x14ac:dyDescent="1.05">
      <c r="B18" s="6">
        <v>13</v>
      </c>
      <c r="C18" s="90">
        <v>45021</v>
      </c>
      <c r="D18" s="91"/>
      <c r="E18" s="92"/>
      <c r="F18" s="93" t="s">
        <v>146</v>
      </c>
      <c r="G18" s="93"/>
      <c r="H18" s="4">
        <v>800000</v>
      </c>
      <c r="I18" s="94">
        <v>266</v>
      </c>
      <c r="J18" s="95"/>
      <c r="K18" s="94"/>
      <c r="L18" s="96"/>
      <c r="M18" s="96"/>
      <c r="N18" s="95"/>
    </row>
    <row r="19" spans="2:14" ht="27.6" thickBot="1" x14ac:dyDescent="1.05">
      <c r="B19" s="6">
        <v>14</v>
      </c>
      <c r="C19" s="90">
        <v>45021</v>
      </c>
      <c r="D19" s="91"/>
      <c r="E19" s="92"/>
      <c r="F19" s="93" t="s">
        <v>147</v>
      </c>
      <c r="G19" s="93"/>
      <c r="H19" s="4">
        <v>11000000</v>
      </c>
      <c r="I19" s="94">
        <v>267</v>
      </c>
      <c r="J19" s="95"/>
      <c r="K19" s="94"/>
      <c r="L19" s="96"/>
      <c r="M19" s="96"/>
      <c r="N19" s="95"/>
    </row>
    <row r="20" spans="2:14" ht="27.6" thickBot="1" x14ac:dyDescent="1.05">
      <c r="B20" s="6">
        <v>15</v>
      </c>
      <c r="C20" s="90">
        <v>45021</v>
      </c>
      <c r="D20" s="91"/>
      <c r="E20" s="92"/>
      <c r="F20" s="93" t="s">
        <v>148</v>
      </c>
      <c r="G20" s="93"/>
      <c r="H20" s="4">
        <v>3450000</v>
      </c>
      <c r="I20" s="94">
        <v>268</v>
      </c>
      <c r="J20" s="95"/>
      <c r="K20" s="94"/>
      <c r="L20" s="96"/>
      <c r="M20" s="96"/>
      <c r="N20" s="95"/>
    </row>
    <row r="21" spans="2:14" ht="27.6" thickBot="1" x14ac:dyDescent="1.05">
      <c r="B21" s="6">
        <v>16</v>
      </c>
      <c r="C21" s="90">
        <v>45019</v>
      </c>
      <c r="D21" s="91"/>
      <c r="E21" s="92"/>
      <c r="F21" s="93" t="s">
        <v>149</v>
      </c>
      <c r="G21" s="93"/>
      <c r="H21" s="4">
        <v>1700000</v>
      </c>
      <c r="I21" s="94">
        <v>269</v>
      </c>
      <c r="J21" s="95"/>
      <c r="K21" s="94"/>
      <c r="L21" s="96"/>
      <c r="M21" s="96"/>
      <c r="N21" s="95"/>
    </row>
    <row r="22" spans="2:14" ht="27.6" thickBot="1" x14ac:dyDescent="1.05">
      <c r="B22" s="6">
        <v>17</v>
      </c>
      <c r="C22" s="90">
        <v>45020</v>
      </c>
      <c r="D22" s="91"/>
      <c r="E22" s="92"/>
      <c r="F22" s="93" t="s">
        <v>41</v>
      </c>
      <c r="G22" s="93"/>
      <c r="H22" s="4">
        <v>1400000</v>
      </c>
      <c r="I22" s="94">
        <v>270</v>
      </c>
      <c r="J22" s="95"/>
      <c r="K22" s="94"/>
      <c r="L22" s="96"/>
      <c r="M22" s="96"/>
      <c r="N22" s="95"/>
    </row>
    <row r="23" spans="2:14" ht="27.6" thickBot="1" x14ac:dyDescent="1.05">
      <c r="B23" s="6">
        <v>18</v>
      </c>
      <c r="C23" s="90">
        <v>45020</v>
      </c>
      <c r="D23" s="91"/>
      <c r="E23" s="92"/>
      <c r="F23" s="93" t="s">
        <v>150</v>
      </c>
      <c r="G23" s="93"/>
      <c r="H23" s="4">
        <v>2400000</v>
      </c>
      <c r="I23" s="94">
        <v>271</v>
      </c>
      <c r="J23" s="95"/>
      <c r="K23" s="94"/>
      <c r="L23" s="96"/>
      <c r="M23" s="96"/>
      <c r="N23" s="95"/>
    </row>
    <row r="24" spans="2:14" ht="27.6" thickBot="1" x14ac:dyDescent="1.05">
      <c r="B24" s="6">
        <v>19</v>
      </c>
      <c r="C24" s="90">
        <v>45020</v>
      </c>
      <c r="D24" s="91"/>
      <c r="E24" s="92"/>
      <c r="F24" s="93" t="s">
        <v>29</v>
      </c>
      <c r="G24" s="93"/>
      <c r="H24" s="4">
        <v>920000</v>
      </c>
      <c r="I24" s="94">
        <v>272</v>
      </c>
      <c r="J24" s="95"/>
      <c r="K24" s="94"/>
      <c r="L24" s="96"/>
      <c r="M24" s="96"/>
      <c r="N24" s="95"/>
    </row>
    <row r="25" spans="2:14" ht="27.6" thickBot="1" x14ac:dyDescent="1.05">
      <c r="B25" s="6">
        <v>20</v>
      </c>
      <c r="C25" s="90">
        <v>45021</v>
      </c>
      <c r="D25" s="91"/>
      <c r="E25" s="92"/>
      <c r="F25" s="93" t="s">
        <v>151</v>
      </c>
      <c r="G25" s="93"/>
      <c r="H25" s="4">
        <v>5000000</v>
      </c>
      <c r="I25" s="94">
        <v>273</v>
      </c>
      <c r="J25" s="95"/>
      <c r="K25" s="94"/>
      <c r="L25" s="96"/>
      <c r="M25" s="96"/>
      <c r="N25" s="95"/>
    </row>
    <row r="26" spans="2:14" ht="27.6" thickBot="1" x14ac:dyDescent="1.05">
      <c r="B26" s="6">
        <v>21</v>
      </c>
      <c r="C26" s="90">
        <v>45023</v>
      </c>
      <c r="D26" s="91"/>
      <c r="E26" s="92"/>
      <c r="F26" s="93" t="s">
        <v>99</v>
      </c>
      <c r="G26" s="93"/>
      <c r="H26" s="4">
        <v>3000000</v>
      </c>
      <c r="I26" s="94">
        <v>274</v>
      </c>
      <c r="J26" s="95"/>
      <c r="K26" s="94"/>
      <c r="L26" s="96"/>
      <c r="M26" s="96"/>
      <c r="N26" s="95"/>
    </row>
    <row r="27" spans="2:14" ht="27.6" thickBot="1" x14ac:dyDescent="1.05">
      <c r="B27" s="6">
        <v>22</v>
      </c>
      <c r="C27" s="90">
        <v>45023</v>
      </c>
      <c r="D27" s="91"/>
      <c r="E27" s="92"/>
      <c r="F27" s="93" t="s">
        <v>21</v>
      </c>
      <c r="G27" s="93"/>
      <c r="H27" s="4">
        <v>1000000</v>
      </c>
      <c r="I27" s="94">
        <v>275</v>
      </c>
      <c r="J27" s="95"/>
      <c r="K27" s="94"/>
      <c r="L27" s="96"/>
      <c r="M27" s="96"/>
      <c r="N27" s="95"/>
    </row>
    <row r="28" spans="2:14" ht="27.6" thickBot="1" x14ac:dyDescent="1.05">
      <c r="B28" s="6">
        <v>23</v>
      </c>
      <c r="C28" s="90">
        <v>45024</v>
      </c>
      <c r="D28" s="91"/>
      <c r="E28" s="92"/>
      <c r="F28" s="93" t="s">
        <v>152</v>
      </c>
      <c r="G28" s="93"/>
      <c r="H28" s="4">
        <v>3100000</v>
      </c>
      <c r="I28" s="94">
        <v>276</v>
      </c>
      <c r="J28" s="95"/>
      <c r="K28" s="94"/>
      <c r="L28" s="96"/>
      <c r="M28" s="96"/>
      <c r="N28" s="95"/>
    </row>
    <row r="29" spans="2:14" ht="27.6" thickBot="1" x14ac:dyDescent="1.05">
      <c r="B29" s="6">
        <v>24</v>
      </c>
      <c r="C29" s="90">
        <v>45025</v>
      </c>
      <c r="D29" s="91"/>
      <c r="E29" s="92"/>
      <c r="F29" s="93" t="s">
        <v>153</v>
      </c>
      <c r="G29" s="93"/>
      <c r="H29" s="4">
        <v>1530000</v>
      </c>
      <c r="I29" s="94">
        <v>277</v>
      </c>
      <c r="J29" s="95"/>
      <c r="K29" s="94"/>
      <c r="L29" s="96"/>
      <c r="M29" s="96"/>
      <c r="N29" s="95"/>
    </row>
    <row r="30" spans="2:14" ht="27.6" thickBot="1" x14ac:dyDescent="1.05">
      <c r="B30" s="6">
        <v>25</v>
      </c>
      <c r="C30" s="90">
        <v>45021</v>
      </c>
      <c r="D30" s="91"/>
      <c r="E30" s="92"/>
      <c r="F30" s="94" t="s">
        <v>45</v>
      </c>
      <c r="G30" s="95"/>
      <c r="H30" s="5">
        <v>1800000</v>
      </c>
      <c r="I30" s="94">
        <v>278</v>
      </c>
      <c r="J30" s="95"/>
      <c r="K30" s="32"/>
      <c r="L30" s="34"/>
      <c r="M30" s="34"/>
      <c r="N30" s="33"/>
    </row>
    <row r="31" spans="2:14" s="1" customFormat="1" ht="29.4" customHeight="1" thickTop="1" thickBot="1" x14ac:dyDescent="0.3">
      <c r="B31" s="102" t="s">
        <v>12</v>
      </c>
      <c r="C31" s="102"/>
      <c r="D31" s="102"/>
      <c r="E31" s="102"/>
      <c r="F31" s="102"/>
      <c r="G31" s="103">
        <f>SUM(H6:H30)</f>
        <v>160880000</v>
      </c>
      <c r="H31" s="104"/>
      <c r="I31" s="104"/>
      <c r="J31" s="105"/>
      <c r="K31" s="106"/>
      <c r="L31" s="107"/>
      <c r="M31" s="107"/>
      <c r="N31" s="108"/>
    </row>
    <row r="32" spans="2:14" s="1" customFormat="1" ht="29.4" customHeight="1" thickBot="1" x14ac:dyDescent="0.3">
      <c r="B32" s="100" t="s">
        <v>13</v>
      </c>
      <c r="C32" s="100"/>
      <c r="D32" s="100"/>
      <c r="E32" s="100"/>
      <c r="F32" s="100"/>
      <c r="G32" s="109"/>
      <c r="H32" s="110"/>
      <c r="I32" s="110"/>
      <c r="J32" s="111"/>
      <c r="K32" s="97"/>
      <c r="L32" s="98"/>
      <c r="M32" s="98"/>
      <c r="N32" s="99"/>
    </row>
    <row r="33" spans="2:14" ht="82.2" customHeight="1" thickBot="1" x14ac:dyDescent="0.3">
      <c r="B33" s="101" t="s">
        <v>14</v>
      </c>
      <c r="C33" s="101"/>
      <c r="D33" s="101"/>
      <c r="E33" s="101"/>
      <c r="F33" s="101" t="s">
        <v>15</v>
      </c>
      <c r="G33" s="101"/>
      <c r="H33" s="101" t="s">
        <v>16</v>
      </c>
      <c r="I33" s="101"/>
      <c r="J33" s="101" t="s">
        <v>17</v>
      </c>
      <c r="K33" s="101"/>
      <c r="L33" s="101"/>
      <c r="M33" s="101"/>
      <c r="N33" s="101"/>
    </row>
  </sheetData>
  <mergeCells count="121">
    <mergeCell ref="C7:E7"/>
    <mergeCell ref="F7:G7"/>
    <mergeCell ref="I7:J7"/>
    <mergeCell ref="K7:N7"/>
    <mergeCell ref="C5:E5"/>
    <mergeCell ref="F5:G5"/>
    <mergeCell ref="I5:J5"/>
    <mergeCell ref="K5:N5"/>
    <mergeCell ref="C6:E6"/>
    <mergeCell ref="F6:G6"/>
    <mergeCell ref="I6:J6"/>
    <mergeCell ref="K6:N6"/>
    <mergeCell ref="B2:E3"/>
    <mergeCell ref="F2:H3"/>
    <mergeCell ref="J2:K2"/>
    <mergeCell ref="M2:N2"/>
    <mergeCell ref="J3:N3"/>
    <mergeCell ref="B4:D4"/>
    <mergeCell ref="E4:F4"/>
    <mergeCell ref="J4:N4"/>
    <mergeCell ref="C9:E9"/>
    <mergeCell ref="F9:G9"/>
    <mergeCell ref="I9:J9"/>
    <mergeCell ref="K9:N9"/>
    <mergeCell ref="C10:E10"/>
    <mergeCell ref="F10:G10"/>
    <mergeCell ref="I10:J10"/>
    <mergeCell ref="K10:N10"/>
    <mergeCell ref="C8:E8"/>
    <mergeCell ref="F8:G8"/>
    <mergeCell ref="I8:J8"/>
    <mergeCell ref="K8:N8"/>
    <mergeCell ref="C13:E13"/>
    <mergeCell ref="F13:G13"/>
    <mergeCell ref="I13:J13"/>
    <mergeCell ref="K13:N13"/>
    <mergeCell ref="C14:E14"/>
    <mergeCell ref="F14:G14"/>
    <mergeCell ref="I14:J14"/>
    <mergeCell ref="K14:N14"/>
    <mergeCell ref="C11:E11"/>
    <mergeCell ref="F11:G11"/>
    <mergeCell ref="I11:J11"/>
    <mergeCell ref="K11:N11"/>
    <mergeCell ref="C12:E12"/>
    <mergeCell ref="F12:G12"/>
    <mergeCell ref="I12:J12"/>
    <mergeCell ref="K12:N12"/>
    <mergeCell ref="C17:E17"/>
    <mergeCell ref="F17:G17"/>
    <mergeCell ref="I17:J17"/>
    <mergeCell ref="K17:N17"/>
    <mergeCell ref="C18:E18"/>
    <mergeCell ref="F18:G18"/>
    <mergeCell ref="I18:J18"/>
    <mergeCell ref="K18:N18"/>
    <mergeCell ref="C15:E15"/>
    <mergeCell ref="F15:G15"/>
    <mergeCell ref="I15:J15"/>
    <mergeCell ref="K15:N15"/>
    <mergeCell ref="C16:E16"/>
    <mergeCell ref="F16:G16"/>
    <mergeCell ref="I16:J16"/>
    <mergeCell ref="K16:N16"/>
    <mergeCell ref="C21:E21"/>
    <mergeCell ref="F21:G21"/>
    <mergeCell ref="I21:J21"/>
    <mergeCell ref="K21:N21"/>
    <mergeCell ref="C22:E22"/>
    <mergeCell ref="F22:G22"/>
    <mergeCell ref="I22:J22"/>
    <mergeCell ref="K22:N22"/>
    <mergeCell ref="C19:E19"/>
    <mergeCell ref="F19:G19"/>
    <mergeCell ref="I19:J19"/>
    <mergeCell ref="K19:N19"/>
    <mergeCell ref="C20:E20"/>
    <mergeCell ref="F20:G20"/>
    <mergeCell ref="I20:J20"/>
    <mergeCell ref="K20:N20"/>
    <mergeCell ref="C25:E25"/>
    <mergeCell ref="F25:G25"/>
    <mergeCell ref="I25:J25"/>
    <mergeCell ref="K25:N25"/>
    <mergeCell ref="C26:E26"/>
    <mergeCell ref="F26:G26"/>
    <mergeCell ref="I26:J26"/>
    <mergeCell ref="K26:N26"/>
    <mergeCell ref="C23:E23"/>
    <mergeCell ref="F23:G23"/>
    <mergeCell ref="I23:J23"/>
    <mergeCell ref="K23:N23"/>
    <mergeCell ref="C24:E24"/>
    <mergeCell ref="F24:G24"/>
    <mergeCell ref="I24:J24"/>
    <mergeCell ref="K24:N24"/>
    <mergeCell ref="C29:E29"/>
    <mergeCell ref="F29:G29"/>
    <mergeCell ref="I29:J29"/>
    <mergeCell ref="K29:N29"/>
    <mergeCell ref="C30:E30"/>
    <mergeCell ref="F30:G30"/>
    <mergeCell ref="I30:J30"/>
    <mergeCell ref="C27:E27"/>
    <mergeCell ref="F27:G27"/>
    <mergeCell ref="I27:J27"/>
    <mergeCell ref="K27:N27"/>
    <mergeCell ref="C28:E28"/>
    <mergeCell ref="F28:G28"/>
    <mergeCell ref="I28:J28"/>
    <mergeCell ref="K28:N28"/>
    <mergeCell ref="B33:E33"/>
    <mergeCell ref="F33:G33"/>
    <mergeCell ref="H33:I33"/>
    <mergeCell ref="J33:N33"/>
    <mergeCell ref="B31:F31"/>
    <mergeCell ref="G31:J31"/>
    <mergeCell ref="K31:N31"/>
    <mergeCell ref="B32:F32"/>
    <mergeCell ref="G32:J32"/>
    <mergeCell ref="K32:N32"/>
  </mergeCells>
  <printOptions horizontalCentered="1" verticalCentered="1"/>
  <pageMargins left="0" right="0.23622047244094491" top="0" bottom="0.17" header="0" footer="0.4"/>
  <pageSetup paperSize="9" scale="71" orientation="portrait" r:id="rId1"/>
  <colBreaks count="2" manualBreakCount="2">
    <brk id="1" max="1048575" man="1"/>
    <brk id="10" min="1" max="32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B1:N33"/>
  <sheetViews>
    <sheetView rightToLeft="1" showWhiteSpace="0" topLeftCell="B1" zoomScale="70" zoomScaleNormal="70" zoomScalePageLayoutView="40" workbookViewId="0">
      <selection activeCell="T1" sqref="T1:V1048576"/>
    </sheetView>
  </sheetViews>
  <sheetFormatPr defaultRowHeight="13.8" x14ac:dyDescent="0.25"/>
  <cols>
    <col min="2" max="2" width="5.5" customWidth="1"/>
    <col min="3" max="3" width="4.19921875" customWidth="1"/>
    <col min="4" max="4" width="7.19921875" customWidth="1"/>
    <col min="5" max="5" width="4" customWidth="1"/>
    <col min="6" max="6" width="15.59765625" customWidth="1"/>
    <col min="7" max="7" width="17.09765625" customWidth="1"/>
    <col min="8" max="8" width="19.69921875" customWidth="1"/>
    <col min="9" max="9" width="12.5" bestFit="1" customWidth="1"/>
    <col min="10" max="10" width="4.69921875" customWidth="1"/>
    <col min="11" max="11" width="13.5" customWidth="1"/>
    <col min="12" max="13" width="9.5" customWidth="1"/>
    <col min="14" max="14" width="5.09765625" customWidth="1"/>
  </cols>
  <sheetData>
    <row r="1" spans="2:14" ht="14.4" thickBot="1" x14ac:dyDescent="0.3"/>
    <row r="2" spans="2:14" ht="24.6" customHeight="1" thickBot="1" x14ac:dyDescent="0.8">
      <c r="B2" s="81"/>
      <c r="C2" s="81"/>
      <c r="D2" s="81"/>
      <c r="E2" s="81"/>
      <c r="F2" s="82" t="s">
        <v>18</v>
      </c>
      <c r="G2" s="82"/>
      <c r="H2" s="82"/>
      <c r="I2" s="30" t="s">
        <v>0</v>
      </c>
      <c r="J2" s="83"/>
      <c r="K2" s="84"/>
      <c r="L2" s="30" t="s">
        <v>1</v>
      </c>
      <c r="M2" s="83"/>
      <c r="N2" s="84"/>
    </row>
    <row r="3" spans="2:14" ht="34.950000000000003" customHeight="1" thickBot="1" x14ac:dyDescent="0.3">
      <c r="B3" s="81"/>
      <c r="C3" s="81"/>
      <c r="D3" s="81"/>
      <c r="E3" s="81"/>
      <c r="F3" s="82"/>
      <c r="G3" s="82"/>
      <c r="H3" s="82"/>
      <c r="I3" s="9" t="s">
        <v>4</v>
      </c>
      <c r="J3" s="85"/>
      <c r="K3" s="85"/>
      <c r="L3" s="85"/>
      <c r="M3" s="85"/>
      <c r="N3" s="86"/>
    </row>
    <row r="4" spans="2:14" ht="24" thickBot="1" x14ac:dyDescent="0.8">
      <c r="B4" s="87" t="s">
        <v>2</v>
      </c>
      <c r="C4" s="87"/>
      <c r="D4" s="88"/>
      <c r="E4" s="84"/>
      <c r="F4" s="89"/>
      <c r="G4" s="30" t="s">
        <v>3</v>
      </c>
      <c r="H4" s="2"/>
      <c r="I4" s="30" t="s">
        <v>5</v>
      </c>
      <c r="J4" s="83"/>
      <c r="K4" s="83"/>
      <c r="L4" s="83"/>
      <c r="M4" s="83"/>
      <c r="N4" s="84"/>
    </row>
    <row r="5" spans="2:14" s="1" customFormat="1" ht="29.4" customHeight="1" thickBot="1" x14ac:dyDescent="0.3">
      <c r="B5" s="26" t="s">
        <v>6</v>
      </c>
      <c r="C5" s="100" t="s">
        <v>7</v>
      </c>
      <c r="D5" s="100"/>
      <c r="E5" s="100"/>
      <c r="F5" s="100" t="s">
        <v>8</v>
      </c>
      <c r="G5" s="100"/>
      <c r="H5" s="26" t="s">
        <v>9</v>
      </c>
      <c r="I5" s="97" t="s">
        <v>10</v>
      </c>
      <c r="J5" s="99"/>
      <c r="K5" s="97" t="s">
        <v>11</v>
      </c>
      <c r="L5" s="98"/>
      <c r="M5" s="98"/>
      <c r="N5" s="99"/>
    </row>
    <row r="6" spans="2:14" ht="27.6" thickBot="1" x14ac:dyDescent="1.05">
      <c r="B6" s="6">
        <v>1</v>
      </c>
      <c r="C6" s="90">
        <v>45001</v>
      </c>
      <c r="D6" s="91"/>
      <c r="E6" s="92"/>
      <c r="F6" s="94" t="s">
        <v>117</v>
      </c>
      <c r="G6" s="95"/>
      <c r="H6" s="4">
        <v>50000000</v>
      </c>
      <c r="I6" s="94">
        <v>229</v>
      </c>
      <c r="J6" s="95"/>
      <c r="K6" s="94"/>
      <c r="L6" s="96"/>
      <c r="M6" s="96"/>
      <c r="N6" s="95"/>
    </row>
    <row r="7" spans="2:14" ht="27.6" thickBot="1" x14ac:dyDescent="1.05">
      <c r="B7" s="6">
        <v>2</v>
      </c>
      <c r="C7" s="90">
        <v>45001</v>
      </c>
      <c r="D7" s="91"/>
      <c r="E7" s="92"/>
      <c r="F7" s="94" t="s">
        <v>118</v>
      </c>
      <c r="G7" s="95"/>
      <c r="H7" s="4">
        <v>40000000</v>
      </c>
      <c r="I7" s="94">
        <v>230</v>
      </c>
      <c r="J7" s="95"/>
      <c r="K7" s="94"/>
      <c r="L7" s="96"/>
      <c r="M7" s="96"/>
      <c r="N7" s="95"/>
    </row>
    <row r="8" spans="2:14" ht="27.6" thickBot="1" x14ac:dyDescent="1.05">
      <c r="B8" s="6">
        <v>3</v>
      </c>
      <c r="C8" s="90">
        <v>45002</v>
      </c>
      <c r="D8" s="91"/>
      <c r="E8" s="92"/>
      <c r="F8" s="94" t="s">
        <v>119</v>
      </c>
      <c r="G8" s="95"/>
      <c r="H8" s="4">
        <v>30000000</v>
      </c>
      <c r="I8" s="94">
        <v>231</v>
      </c>
      <c r="J8" s="95"/>
      <c r="K8" s="94"/>
      <c r="L8" s="96"/>
      <c r="M8" s="96"/>
      <c r="N8" s="95"/>
    </row>
    <row r="9" spans="2:14" s="1" customFormat="1" ht="18.75" customHeight="1" thickBot="1" x14ac:dyDescent="0.35">
      <c r="B9" s="14">
        <v>4</v>
      </c>
      <c r="C9" s="90">
        <v>45002</v>
      </c>
      <c r="D9" s="91"/>
      <c r="E9" s="92"/>
      <c r="F9" s="123" t="s">
        <v>120</v>
      </c>
      <c r="G9" s="124"/>
      <c r="H9" s="15">
        <v>53220000</v>
      </c>
      <c r="I9" s="94">
        <v>232</v>
      </c>
      <c r="J9" s="95"/>
      <c r="K9" s="97"/>
      <c r="L9" s="98"/>
      <c r="M9" s="98"/>
      <c r="N9" s="99"/>
    </row>
    <row r="10" spans="2:14" ht="27.6" thickBot="1" x14ac:dyDescent="1.05">
      <c r="B10" s="6">
        <v>5</v>
      </c>
      <c r="C10" s="90">
        <v>45003</v>
      </c>
      <c r="D10" s="91"/>
      <c r="E10" s="92"/>
      <c r="F10" s="94" t="s">
        <v>121</v>
      </c>
      <c r="G10" s="95"/>
      <c r="H10" s="4">
        <v>2618000</v>
      </c>
      <c r="I10" s="94">
        <v>233</v>
      </c>
      <c r="J10" s="95"/>
      <c r="K10" s="94"/>
      <c r="L10" s="96"/>
      <c r="M10" s="96"/>
      <c r="N10" s="95"/>
    </row>
    <row r="11" spans="2:14" ht="27.6" thickBot="1" x14ac:dyDescent="1.05">
      <c r="B11" s="6">
        <v>6</v>
      </c>
      <c r="C11" s="90">
        <v>45001</v>
      </c>
      <c r="D11" s="91"/>
      <c r="E11" s="92"/>
      <c r="F11" s="94" t="s">
        <v>21</v>
      </c>
      <c r="G11" s="95"/>
      <c r="H11" s="4">
        <v>1000000</v>
      </c>
      <c r="I11" s="94">
        <v>234</v>
      </c>
      <c r="J11" s="95"/>
      <c r="K11" s="94"/>
      <c r="L11" s="96"/>
      <c r="M11" s="96"/>
      <c r="N11" s="95"/>
    </row>
    <row r="12" spans="2:14" ht="27.6" thickBot="1" x14ac:dyDescent="1.05">
      <c r="B12" s="6">
        <v>7</v>
      </c>
      <c r="C12" s="90">
        <v>45001</v>
      </c>
      <c r="D12" s="91"/>
      <c r="E12" s="92"/>
      <c r="F12" s="94" t="s">
        <v>122</v>
      </c>
      <c r="G12" s="95"/>
      <c r="H12" s="4">
        <v>3000000</v>
      </c>
      <c r="I12" s="94">
        <v>235</v>
      </c>
      <c r="J12" s="95"/>
      <c r="K12" s="94"/>
      <c r="L12" s="96"/>
      <c r="M12" s="96"/>
      <c r="N12" s="95"/>
    </row>
    <row r="13" spans="2:14" ht="27.6" thickBot="1" x14ac:dyDescent="1.05">
      <c r="B13" s="6">
        <v>8</v>
      </c>
      <c r="C13" s="90">
        <v>45003</v>
      </c>
      <c r="D13" s="91"/>
      <c r="E13" s="92"/>
      <c r="F13" s="94" t="s">
        <v>123</v>
      </c>
      <c r="G13" s="95"/>
      <c r="H13" s="4">
        <v>740000</v>
      </c>
      <c r="I13" s="94">
        <v>236</v>
      </c>
      <c r="J13" s="95"/>
      <c r="K13" s="94"/>
      <c r="L13" s="96"/>
      <c r="M13" s="96"/>
      <c r="N13" s="95"/>
    </row>
    <row r="14" spans="2:14" ht="27.6" thickBot="1" x14ac:dyDescent="1.05">
      <c r="B14" s="6">
        <v>9</v>
      </c>
      <c r="C14" s="90">
        <v>45003</v>
      </c>
      <c r="D14" s="91"/>
      <c r="E14" s="92"/>
      <c r="F14" s="94" t="s">
        <v>124</v>
      </c>
      <c r="G14" s="95"/>
      <c r="H14" s="4">
        <v>63700000</v>
      </c>
      <c r="I14" s="94">
        <v>237</v>
      </c>
      <c r="J14" s="95"/>
      <c r="K14" s="94"/>
      <c r="L14" s="96"/>
      <c r="M14" s="96"/>
      <c r="N14" s="95"/>
    </row>
    <row r="15" spans="2:14" ht="27.6" thickBot="1" x14ac:dyDescent="1.05">
      <c r="B15" s="6">
        <v>10</v>
      </c>
      <c r="C15" s="90">
        <v>45003</v>
      </c>
      <c r="D15" s="91"/>
      <c r="E15" s="92"/>
      <c r="F15" s="94" t="s">
        <v>125</v>
      </c>
      <c r="G15" s="95"/>
      <c r="H15" s="4">
        <v>1500000</v>
      </c>
      <c r="I15" s="94">
        <v>238</v>
      </c>
      <c r="J15" s="95"/>
      <c r="K15" s="94"/>
      <c r="L15" s="96"/>
      <c r="M15" s="96"/>
      <c r="N15" s="95"/>
    </row>
    <row r="16" spans="2:14" ht="27.6" thickBot="1" x14ac:dyDescent="1.05">
      <c r="B16" s="6">
        <v>11</v>
      </c>
      <c r="C16" s="90">
        <v>45003</v>
      </c>
      <c r="D16" s="91"/>
      <c r="E16" s="92"/>
      <c r="F16" s="94" t="s">
        <v>126</v>
      </c>
      <c r="G16" s="95"/>
      <c r="H16" s="4">
        <v>4500000</v>
      </c>
      <c r="I16" s="94">
        <v>239</v>
      </c>
      <c r="J16" s="95"/>
      <c r="K16" s="94"/>
      <c r="L16" s="96"/>
      <c r="M16" s="96"/>
      <c r="N16" s="95"/>
    </row>
    <row r="17" spans="2:14" ht="27.6" thickBot="1" x14ac:dyDescent="1.05">
      <c r="B17" s="6">
        <v>12</v>
      </c>
      <c r="C17" s="90">
        <v>45004</v>
      </c>
      <c r="D17" s="91"/>
      <c r="E17" s="92"/>
      <c r="F17" s="94" t="s">
        <v>127</v>
      </c>
      <c r="G17" s="95"/>
      <c r="H17" s="4">
        <v>570000</v>
      </c>
      <c r="I17" s="94">
        <v>240</v>
      </c>
      <c r="J17" s="95"/>
      <c r="K17" s="94"/>
      <c r="L17" s="96"/>
      <c r="M17" s="96"/>
      <c r="N17" s="95"/>
    </row>
    <row r="18" spans="2:14" ht="27.6" thickBot="1" x14ac:dyDescent="1.05">
      <c r="B18" s="6">
        <v>13</v>
      </c>
      <c r="C18" s="90">
        <v>45004</v>
      </c>
      <c r="D18" s="91"/>
      <c r="E18" s="92"/>
      <c r="F18" s="94" t="s">
        <v>128</v>
      </c>
      <c r="G18" s="95"/>
      <c r="H18" s="4">
        <v>27000000</v>
      </c>
      <c r="I18" s="94">
        <v>241</v>
      </c>
      <c r="J18" s="95"/>
      <c r="K18" s="94"/>
      <c r="L18" s="96"/>
      <c r="M18" s="96"/>
      <c r="N18" s="95"/>
    </row>
    <row r="19" spans="2:14" ht="27.6" thickBot="1" x14ac:dyDescent="1.05">
      <c r="B19" s="6">
        <v>14</v>
      </c>
      <c r="C19" s="90">
        <v>45004</v>
      </c>
      <c r="D19" s="91"/>
      <c r="E19" s="92"/>
      <c r="F19" s="94" t="s">
        <v>39</v>
      </c>
      <c r="G19" s="95"/>
      <c r="H19" s="4">
        <v>17500000</v>
      </c>
      <c r="I19" s="94">
        <v>242</v>
      </c>
      <c r="J19" s="95"/>
      <c r="K19" s="94"/>
      <c r="L19" s="96"/>
      <c r="M19" s="96"/>
      <c r="N19" s="95"/>
    </row>
    <row r="20" spans="2:14" ht="27.6" thickBot="1" x14ac:dyDescent="1.05">
      <c r="B20" s="6">
        <v>15</v>
      </c>
      <c r="C20" s="90">
        <v>45004</v>
      </c>
      <c r="D20" s="91"/>
      <c r="E20" s="92"/>
      <c r="F20" s="94" t="s">
        <v>129</v>
      </c>
      <c r="G20" s="95"/>
      <c r="H20" s="4">
        <v>750000</v>
      </c>
      <c r="I20" s="94">
        <v>243</v>
      </c>
      <c r="J20" s="95"/>
      <c r="K20" s="94"/>
      <c r="L20" s="96"/>
      <c r="M20" s="96"/>
      <c r="N20" s="95"/>
    </row>
    <row r="21" spans="2:14" ht="27.6" thickBot="1" x14ac:dyDescent="1.05">
      <c r="B21" s="6">
        <v>16</v>
      </c>
      <c r="C21" s="90">
        <v>45004</v>
      </c>
      <c r="D21" s="91"/>
      <c r="E21" s="92"/>
      <c r="F21" s="94" t="s">
        <v>130</v>
      </c>
      <c r="G21" s="95"/>
      <c r="H21" s="4">
        <v>1450000</v>
      </c>
      <c r="I21" s="94">
        <v>244</v>
      </c>
      <c r="J21" s="95"/>
      <c r="K21" s="94"/>
      <c r="L21" s="96"/>
      <c r="M21" s="96"/>
      <c r="N21" s="95"/>
    </row>
    <row r="22" spans="2:14" ht="27.6" thickBot="1" x14ac:dyDescent="1.05">
      <c r="B22" s="6">
        <v>17</v>
      </c>
      <c r="C22" s="90">
        <v>45004</v>
      </c>
      <c r="D22" s="91"/>
      <c r="E22" s="92"/>
      <c r="F22" s="94" t="s">
        <v>59</v>
      </c>
      <c r="G22" s="95"/>
      <c r="H22" s="4">
        <v>14800000</v>
      </c>
      <c r="I22" s="94">
        <v>245</v>
      </c>
      <c r="J22" s="95"/>
      <c r="K22" s="94"/>
      <c r="L22" s="96"/>
      <c r="M22" s="96"/>
      <c r="N22" s="95"/>
    </row>
    <row r="23" spans="2:14" ht="27.6" thickBot="1" x14ac:dyDescent="1.05">
      <c r="B23" s="6">
        <v>18</v>
      </c>
      <c r="C23" s="90">
        <v>45001</v>
      </c>
      <c r="D23" s="91"/>
      <c r="E23" s="92"/>
      <c r="F23" s="94" t="s">
        <v>131</v>
      </c>
      <c r="G23" s="95"/>
      <c r="H23" s="4">
        <v>3150000</v>
      </c>
      <c r="I23" s="94">
        <v>246</v>
      </c>
      <c r="J23" s="95"/>
      <c r="K23" s="94"/>
      <c r="L23" s="96"/>
      <c r="M23" s="96"/>
      <c r="N23" s="95"/>
    </row>
    <row r="24" spans="2:14" ht="27.6" thickBot="1" x14ac:dyDescent="1.05">
      <c r="B24" s="6">
        <v>19</v>
      </c>
      <c r="C24" s="90">
        <v>45005</v>
      </c>
      <c r="D24" s="91"/>
      <c r="E24" s="92"/>
      <c r="F24" s="94" t="s">
        <v>21</v>
      </c>
      <c r="G24" s="95"/>
      <c r="H24" s="4">
        <v>850000</v>
      </c>
      <c r="I24" s="94">
        <v>247</v>
      </c>
      <c r="J24" s="95"/>
      <c r="K24" s="94"/>
      <c r="L24" s="96"/>
      <c r="M24" s="96"/>
      <c r="N24" s="95"/>
    </row>
    <row r="25" spans="2:14" ht="27.6" thickBot="1" x14ac:dyDescent="1.05">
      <c r="B25" s="6">
        <v>20</v>
      </c>
      <c r="C25" s="90">
        <v>45011</v>
      </c>
      <c r="D25" s="91"/>
      <c r="E25" s="92"/>
      <c r="F25" s="94" t="s">
        <v>132</v>
      </c>
      <c r="G25" s="95"/>
      <c r="H25" s="4">
        <v>980000</v>
      </c>
      <c r="I25" s="94">
        <v>248</v>
      </c>
      <c r="J25" s="95"/>
      <c r="K25" s="94"/>
      <c r="L25" s="96"/>
      <c r="M25" s="96"/>
      <c r="N25" s="95"/>
    </row>
    <row r="26" spans="2:14" ht="27.6" thickBot="1" x14ac:dyDescent="1.05">
      <c r="B26" s="6">
        <v>21</v>
      </c>
      <c r="C26" s="90">
        <v>45011</v>
      </c>
      <c r="D26" s="91"/>
      <c r="E26" s="92"/>
      <c r="F26" s="94" t="s">
        <v>133</v>
      </c>
      <c r="G26" s="95"/>
      <c r="H26" s="4">
        <v>8100000</v>
      </c>
      <c r="I26" s="94">
        <v>249</v>
      </c>
      <c r="J26" s="95"/>
      <c r="K26" s="94"/>
      <c r="L26" s="96"/>
      <c r="M26" s="96"/>
      <c r="N26" s="95"/>
    </row>
    <row r="27" spans="2:14" ht="27.6" thickBot="1" x14ac:dyDescent="1.05">
      <c r="B27" s="6">
        <v>22</v>
      </c>
      <c r="C27" s="90">
        <v>45011</v>
      </c>
      <c r="D27" s="91"/>
      <c r="E27" s="92"/>
      <c r="F27" s="94" t="s">
        <v>134</v>
      </c>
      <c r="G27" s="95"/>
      <c r="H27" s="4">
        <v>7000000</v>
      </c>
      <c r="I27" s="94">
        <v>250</v>
      </c>
      <c r="J27" s="95"/>
      <c r="K27" s="94"/>
      <c r="L27" s="96"/>
      <c r="M27" s="96"/>
      <c r="N27" s="95"/>
    </row>
    <row r="28" spans="2:14" ht="27.6" thickBot="1" x14ac:dyDescent="1.05">
      <c r="B28" s="6">
        <v>23</v>
      </c>
      <c r="C28" s="90">
        <v>45011</v>
      </c>
      <c r="D28" s="91"/>
      <c r="E28" s="92"/>
      <c r="F28" s="94" t="s">
        <v>119</v>
      </c>
      <c r="G28" s="95"/>
      <c r="H28" s="4">
        <v>10000000</v>
      </c>
      <c r="I28" s="94">
        <v>251</v>
      </c>
      <c r="J28" s="95"/>
      <c r="K28" s="94"/>
      <c r="L28" s="96"/>
      <c r="M28" s="96"/>
      <c r="N28" s="95"/>
    </row>
    <row r="29" spans="2:14" ht="27.6" thickBot="1" x14ac:dyDescent="1.05">
      <c r="B29" s="6">
        <v>24</v>
      </c>
      <c r="C29" s="90">
        <v>45011</v>
      </c>
      <c r="D29" s="91"/>
      <c r="E29" s="92"/>
      <c r="F29" s="94" t="s">
        <v>36</v>
      </c>
      <c r="G29" s="95"/>
      <c r="H29" s="4">
        <v>180000</v>
      </c>
      <c r="I29" s="94">
        <v>252</v>
      </c>
      <c r="J29" s="95"/>
      <c r="K29" s="94"/>
      <c r="L29" s="96"/>
      <c r="M29" s="96"/>
      <c r="N29" s="95"/>
    </row>
    <row r="30" spans="2:14" ht="27.6" thickBot="1" x14ac:dyDescent="1.05">
      <c r="B30" s="6">
        <v>25</v>
      </c>
      <c r="C30" s="90"/>
      <c r="D30" s="91"/>
      <c r="E30" s="92"/>
      <c r="F30" s="112" t="s">
        <v>135</v>
      </c>
      <c r="G30" s="114"/>
      <c r="H30" s="5">
        <v>3500000</v>
      </c>
      <c r="I30" s="112">
        <v>253</v>
      </c>
      <c r="J30" s="114"/>
      <c r="K30" s="27"/>
      <c r="L30" s="29"/>
      <c r="M30" s="29"/>
      <c r="N30" s="28"/>
    </row>
    <row r="31" spans="2:14" s="1" customFormat="1" ht="29.4" customHeight="1" thickTop="1" thickBot="1" x14ac:dyDescent="0.3">
      <c r="B31" s="102" t="s">
        <v>12</v>
      </c>
      <c r="C31" s="102"/>
      <c r="D31" s="102"/>
      <c r="E31" s="102"/>
      <c r="F31" s="102"/>
      <c r="G31" s="103">
        <f>SUM(H6:H30)</f>
        <v>346108000</v>
      </c>
      <c r="H31" s="104"/>
      <c r="I31" s="104"/>
      <c r="J31" s="105"/>
      <c r="K31" s="106"/>
      <c r="L31" s="107"/>
      <c r="M31" s="107"/>
      <c r="N31" s="108"/>
    </row>
    <row r="32" spans="2:14" s="1" customFormat="1" ht="29.4" customHeight="1" thickBot="1" x14ac:dyDescent="0.3">
      <c r="B32" s="100" t="s">
        <v>13</v>
      </c>
      <c r="C32" s="100"/>
      <c r="D32" s="100"/>
      <c r="E32" s="100"/>
      <c r="F32" s="100"/>
      <c r="G32" s="109"/>
      <c r="H32" s="110"/>
      <c r="I32" s="110"/>
      <c r="J32" s="111"/>
      <c r="K32" s="97"/>
      <c r="L32" s="98"/>
      <c r="M32" s="98"/>
      <c r="N32" s="99"/>
    </row>
    <row r="33" spans="2:14" ht="82.2" customHeight="1" thickBot="1" x14ac:dyDescent="0.3">
      <c r="B33" s="101" t="s">
        <v>14</v>
      </c>
      <c r="C33" s="101"/>
      <c r="D33" s="101"/>
      <c r="E33" s="101"/>
      <c r="F33" s="101" t="s">
        <v>15</v>
      </c>
      <c r="G33" s="101"/>
      <c r="H33" s="101" t="s">
        <v>16</v>
      </c>
      <c r="I33" s="101"/>
      <c r="J33" s="101" t="s">
        <v>17</v>
      </c>
      <c r="K33" s="101"/>
      <c r="L33" s="101"/>
      <c r="M33" s="101"/>
      <c r="N33" s="101"/>
    </row>
  </sheetData>
  <mergeCells count="121">
    <mergeCell ref="B33:E33"/>
    <mergeCell ref="F33:G33"/>
    <mergeCell ref="H33:I33"/>
    <mergeCell ref="J33:N33"/>
    <mergeCell ref="B31:F31"/>
    <mergeCell ref="G31:J31"/>
    <mergeCell ref="K31:N31"/>
    <mergeCell ref="B32:F32"/>
    <mergeCell ref="G32:J32"/>
    <mergeCell ref="K32:N32"/>
    <mergeCell ref="C29:E29"/>
    <mergeCell ref="F29:G29"/>
    <mergeCell ref="I29:J29"/>
    <mergeCell ref="K29:N29"/>
    <mergeCell ref="C30:E30"/>
    <mergeCell ref="F30:G30"/>
    <mergeCell ref="I30:J30"/>
    <mergeCell ref="C27:E27"/>
    <mergeCell ref="F27:G27"/>
    <mergeCell ref="I27:J27"/>
    <mergeCell ref="K27:N27"/>
    <mergeCell ref="C28:E28"/>
    <mergeCell ref="F28:G28"/>
    <mergeCell ref="I28:J28"/>
    <mergeCell ref="K28:N28"/>
    <mergeCell ref="C25:E25"/>
    <mergeCell ref="F25:G25"/>
    <mergeCell ref="I25:J25"/>
    <mergeCell ref="K25:N25"/>
    <mergeCell ref="C26:E26"/>
    <mergeCell ref="F26:G26"/>
    <mergeCell ref="I26:J26"/>
    <mergeCell ref="K26:N26"/>
    <mergeCell ref="C23:E23"/>
    <mergeCell ref="F23:G23"/>
    <mergeCell ref="I23:J23"/>
    <mergeCell ref="K23:N23"/>
    <mergeCell ref="C24:E24"/>
    <mergeCell ref="F24:G24"/>
    <mergeCell ref="I24:J24"/>
    <mergeCell ref="K24:N24"/>
    <mergeCell ref="C21:E21"/>
    <mergeCell ref="F21:G21"/>
    <mergeCell ref="I21:J21"/>
    <mergeCell ref="K21:N21"/>
    <mergeCell ref="C22:E22"/>
    <mergeCell ref="F22:G22"/>
    <mergeCell ref="I22:J22"/>
    <mergeCell ref="K22:N22"/>
    <mergeCell ref="C19:E19"/>
    <mergeCell ref="F19:G19"/>
    <mergeCell ref="I19:J19"/>
    <mergeCell ref="K19:N19"/>
    <mergeCell ref="C20:E20"/>
    <mergeCell ref="F20:G20"/>
    <mergeCell ref="I20:J20"/>
    <mergeCell ref="K20:N20"/>
    <mergeCell ref="C17:E17"/>
    <mergeCell ref="F17:G17"/>
    <mergeCell ref="I17:J17"/>
    <mergeCell ref="K17:N17"/>
    <mergeCell ref="C18:E18"/>
    <mergeCell ref="F18:G18"/>
    <mergeCell ref="I18:J18"/>
    <mergeCell ref="K18:N18"/>
    <mergeCell ref="C15:E15"/>
    <mergeCell ref="F15:G15"/>
    <mergeCell ref="I15:J15"/>
    <mergeCell ref="K15:N15"/>
    <mergeCell ref="C16:E16"/>
    <mergeCell ref="F16:G16"/>
    <mergeCell ref="I16:J16"/>
    <mergeCell ref="K16:N16"/>
    <mergeCell ref="C14:E14"/>
    <mergeCell ref="F14:G14"/>
    <mergeCell ref="I14:J14"/>
    <mergeCell ref="K14:N14"/>
    <mergeCell ref="C11:E11"/>
    <mergeCell ref="F11:G11"/>
    <mergeCell ref="I11:J11"/>
    <mergeCell ref="K11:N11"/>
    <mergeCell ref="C12:E12"/>
    <mergeCell ref="F12:G12"/>
    <mergeCell ref="I12:J12"/>
    <mergeCell ref="K12:N12"/>
    <mergeCell ref="C10:E10"/>
    <mergeCell ref="F10:G10"/>
    <mergeCell ref="I10:J10"/>
    <mergeCell ref="K10:N10"/>
    <mergeCell ref="C8:E8"/>
    <mergeCell ref="F8:G8"/>
    <mergeCell ref="I8:J8"/>
    <mergeCell ref="K8:N8"/>
    <mergeCell ref="C13:E13"/>
    <mergeCell ref="F13:G13"/>
    <mergeCell ref="I13:J13"/>
    <mergeCell ref="K13:N13"/>
    <mergeCell ref="B2:E3"/>
    <mergeCell ref="F2:H3"/>
    <mergeCell ref="J2:K2"/>
    <mergeCell ref="M2:N2"/>
    <mergeCell ref="J3:N3"/>
    <mergeCell ref="B4:D4"/>
    <mergeCell ref="E4:F4"/>
    <mergeCell ref="J4:N4"/>
    <mergeCell ref="C9:E9"/>
    <mergeCell ref="F9:G9"/>
    <mergeCell ref="I9:J9"/>
    <mergeCell ref="K9:N9"/>
    <mergeCell ref="C7:E7"/>
    <mergeCell ref="F7:G7"/>
    <mergeCell ref="I7:J7"/>
    <mergeCell ref="K7:N7"/>
    <mergeCell ref="C5:E5"/>
    <mergeCell ref="F5:G5"/>
    <mergeCell ref="I5:J5"/>
    <mergeCell ref="K5:N5"/>
    <mergeCell ref="C6:E6"/>
    <mergeCell ref="F6:G6"/>
    <mergeCell ref="I6:J6"/>
    <mergeCell ref="K6:N6"/>
  </mergeCells>
  <printOptions horizontalCentered="1" verticalCentered="1"/>
  <pageMargins left="0" right="0.23622047244094491" top="0" bottom="0.17" header="0" footer="0.4"/>
  <pageSetup paperSize="9" scale="71" orientation="portrait" r:id="rId1"/>
  <colBreaks count="2" manualBreakCount="2">
    <brk id="1" max="1048575" man="1"/>
    <brk id="10" min="1" max="32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B1:X34"/>
  <sheetViews>
    <sheetView rightToLeft="1" showWhiteSpace="0" topLeftCell="A16" zoomScale="70" zoomScaleNormal="70" zoomScalePageLayoutView="40" workbookViewId="0">
      <selection activeCell="B33" sqref="B33:F33"/>
    </sheetView>
  </sheetViews>
  <sheetFormatPr defaultRowHeight="13.8" x14ac:dyDescent="0.25"/>
  <cols>
    <col min="2" max="2" width="5.5" customWidth="1"/>
    <col min="3" max="3" width="4.19921875" customWidth="1"/>
    <col min="4" max="4" width="7.19921875" customWidth="1"/>
    <col min="5" max="5" width="4" customWidth="1"/>
    <col min="6" max="6" width="15.59765625" customWidth="1"/>
    <col min="7" max="7" width="17.09765625" customWidth="1"/>
    <col min="8" max="8" width="19.69921875" customWidth="1"/>
    <col min="9" max="9" width="12.5" bestFit="1" customWidth="1"/>
    <col min="10" max="10" width="4.69921875" customWidth="1"/>
    <col min="11" max="11" width="13.5" customWidth="1"/>
    <col min="12" max="13" width="9.5" customWidth="1"/>
    <col min="14" max="14" width="5.09765625" customWidth="1"/>
  </cols>
  <sheetData>
    <row r="1" spans="2:24" ht="14.4" thickBot="1" x14ac:dyDescent="0.3"/>
    <row r="2" spans="2:24" ht="24.6" customHeight="1" thickBot="1" x14ac:dyDescent="0.8">
      <c r="B2" s="81"/>
      <c r="C2" s="81"/>
      <c r="D2" s="81"/>
      <c r="E2" s="81"/>
      <c r="F2" s="82" t="s">
        <v>18</v>
      </c>
      <c r="G2" s="82"/>
      <c r="H2" s="82"/>
      <c r="I2" s="24" t="s">
        <v>0</v>
      </c>
      <c r="J2" s="83"/>
      <c r="K2" s="84"/>
      <c r="L2" s="24" t="s">
        <v>1</v>
      </c>
      <c r="M2" s="83"/>
      <c r="N2" s="84"/>
    </row>
    <row r="3" spans="2:24" ht="34.950000000000003" customHeight="1" thickBot="1" x14ac:dyDescent="0.3">
      <c r="B3" s="81"/>
      <c r="C3" s="81"/>
      <c r="D3" s="81"/>
      <c r="E3" s="81"/>
      <c r="F3" s="82"/>
      <c r="G3" s="82"/>
      <c r="H3" s="82"/>
      <c r="I3" s="9" t="s">
        <v>4</v>
      </c>
      <c r="J3" s="85"/>
      <c r="K3" s="85"/>
      <c r="L3" s="85"/>
      <c r="M3" s="85"/>
      <c r="N3" s="86"/>
    </row>
    <row r="4" spans="2:24" ht="24" thickBot="1" x14ac:dyDescent="0.8">
      <c r="B4" s="87" t="s">
        <v>2</v>
      </c>
      <c r="C4" s="87"/>
      <c r="D4" s="88"/>
      <c r="E4" s="84"/>
      <c r="F4" s="89"/>
      <c r="G4" s="24" t="s">
        <v>3</v>
      </c>
      <c r="H4" s="2"/>
      <c r="I4" s="24" t="s">
        <v>5</v>
      </c>
      <c r="J4" s="83"/>
      <c r="K4" s="83"/>
      <c r="L4" s="83"/>
      <c r="M4" s="83"/>
      <c r="N4" s="84"/>
    </row>
    <row r="5" spans="2:24" s="1" customFormat="1" ht="29.4" customHeight="1" thickBot="1" x14ac:dyDescent="0.3">
      <c r="B5" s="23" t="s">
        <v>6</v>
      </c>
      <c r="C5" s="100" t="s">
        <v>7</v>
      </c>
      <c r="D5" s="100"/>
      <c r="E5" s="100"/>
      <c r="F5" s="100" t="s">
        <v>8</v>
      </c>
      <c r="G5" s="100"/>
      <c r="H5" s="23" t="s">
        <v>9</v>
      </c>
      <c r="I5" s="97" t="s">
        <v>10</v>
      </c>
      <c r="J5" s="99"/>
      <c r="K5" s="97" t="s">
        <v>11</v>
      </c>
      <c r="L5" s="98"/>
      <c r="M5" s="98"/>
      <c r="N5" s="99"/>
    </row>
    <row r="6" spans="2:24" ht="27.6" thickBot="1" x14ac:dyDescent="1.05">
      <c r="B6" s="6">
        <v>1</v>
      </c>
      <c r="C6" s="90">
        <v>44997</v>
      </c>
      <c r="D6" s="91"/>
      <c r="E6" s="92"/>
      <c r="F6" s="93" t="s">
        <v>29</v>
      </c>
      <c r="G6" s="93"/>
      <c r="H6" s="4">
        <v>980000</v>
      </c>
      <c r="I6" s="94">
        <v>203</v>
      </c>
      <c r="J6" s="95"/>
      <c r="K6" s="94"/>
      <c r="L6" s="96"/>
      <c r="M6" s="96"/>
      <c r="N6" s="95"/>
    </row>
    <row r="7" spans="2:24" ht="27.6" thickBot="1" x14ac:dyDescent="1.05">
      <c r="B7" s="6">
        <v>2</v>
      </c>
      <c r="C7" s="90">
        <v>44997</v>
      </c>
      <c r="D7" s="91"/>
      <c r="E7" s="92"/>
      <c r="F7" s="93" t="s">
        <v>45</v>
      </c>
      <c r="G7" s="93"/>
      <c r="H7" s="4">
        <v>900000</v>
      </c>
      <c r="I7" s="94">
        <v>204</v>
      </c>
      <c r="J7" s="95"/>
      <c r="K7" s="94"/>
      <c r="L7" s="96"/>
      <c r="M7" s="96"/>
      <c r="N7" s="95"/>
    </row>
    <row r="8" spans="2:24" ht="27.6" thickBot="1" x14ac:dyDescent="1.05">
      <c r="B8" s="6">
        <v>3</v>
      </c>
      <c r="C8" s="90">
        <v>44997</v>
      </c>
      <c r="D8" s="91"/>
      <c r="E8" s="92"/>
      <c r="F8" s="93" t="s">
        <v>97</v>
      </c>
      <c r="G8" s="93"/>
      <c r="H8" s="4">
        <v>482000</v>
      </c>
      <c r="I8" s="94">
        <v>205</v>
      </c>
      <c r="J8" s="95"/>
      <c r="K8" s="94"/>
      <c r="L8" s="96"/>
      <c r="M8" s="96"/>
      <c r="N8" s="95"/>
    </row>
    <row r="9" spans="2:24" s="1" customFormat="1" ht="27.6" thickBot="1" x14ac:dyDescent="0.35">
      <c r="B9" s="14">
        <v>4</v>
      </c>
      <c r="C9" s="90">
        <v>44998</v>
      </c>
      <c r="D9" s="91"/>
      <c r="E9" s="92"/>
      <c r="F9" s="115" t="s">
        <v>98</v>
      </c>
      <c r="G9" s="115"/>
      <c r="H9" s="15">
        <v>16500000</v>
      </c>
      <c r="I9" s="94">
        <v>206</v>
      </c>
      <c r="J9" s="95"/>
      <c r="K9" s="97"/>
      <c r="L9" s="98"/>
      <c r="M9" s="98"/>
      <c r="N9" s="99"/>
    </row>
    <row r="10" spans="2:24" ht="27.6" thickBot="1" x14ac:dyDescent="1.05">
      <c r="B10" s="6">
        <v>5</v>
      </c>
      <c r="C10" s="90">
        <v>44984</v>
      </c>
      <c r="D10" s="91"/>
      <c r="E10" s="92"/>
      <c r="F10" s="93" t="s">
        <v>99</v>
      </c>
      <c r="G10" s="93"/>
      <c r="H10" s="4">
        <v>1040000</v>
      </c>
      <c r="I10" s="94">
        <v>207</v>
      </c>
      <c r="J10" s="95"/>
      <c r="K10" s="94"/>
      <c r="L10" s="96"/>
      <c r="M10" s="96"/>
      <c r="N10" s="95"/>
    </row>
    <row r="11" spans="2:24" ht="27.6" thickBot="1" x14ac:dyDescent="1.05">
      <c r="B11" s="6">
        <v>6</v>
      </c>
      <c r="C11" s="90">
        <v>44985</v>
      </c>
      <c r="D11" s="91"/>
      <c r="E11" s="92"/>
      <c r="F11" s="93" t="s">
        <v>41</v>
      </c>
      <c r="G11" s="93"/>
      <c r="H11" s="4">
        <v>1400000</v>
      </c>
      <c r="I11" s="94">
        <v>208</v>
      </c>
      <c r="J11" s="95"/>
      <c r="K11" s="94"/>
      <c r="L11" s="96"/>
      <c r="M11" s="96"/>
      <c r="N11" s="95"/>
      <c r="T11" s="25"/>
      <c r="U11" s="25"/>
      <c r="V11" s="25"/>
      <c r="W11" s="25"/>
      <c r="X11" s="25"/>
    </row>
    <row r="12" spans="2:24" ht="27.6" thickBot="1" x14ac:dyDescent="1.05">
      <c r="B12" s="6">
        <v>7</v>
      </c>
      <c r="C12" s="90">
        <v>44994</v>
      </c>
      <c r="D12" s="91"/>
      <c r="E12" s="92"/>
      <c r="F12" s="93" t="s">
        <v>100</v>
      </c>
      <c r="G12" s="93"/>
      <c r="H12" s="4">
        <v>1456700</v>
      </c>
      <c r="I12" s="94">
        <v>209</v>
      </c>
      <c r="J12" s="95"/>
      <c r="K12" s="94"/>
      <c r="L12" s="96"/>
      <c r="M12" s="96"/>
      <c r="N12" s="95"/>
    </row>
    <row r="13" spans="2:24" ht="27.6" thickBot="1" x14ac:dyDescent="1.05">
      <c r="B13" s="6">
        <v>8</v>
      </c>
      <c r="C13" s="90">
        <v>44994</v>
      </c>
      <c r="D13" s="91"/>
      <c r="E13" s="92"/>
      <c r="F13" s="93" t="s">
        <v>44</v>
      </c>
      <c r="G13" s="93"/>
      <c r="H13" s="4">
        <v>4000000</v>
      </c>
      <c r="I13" s="94">
        <v>210</v>
      </c>
      <c r="J13" s="95"/>
      <c r="K13" s="94"/>
      <c r="L13" s="96"/>
      <c r="M13" s="96"/>
      <c r="N13" s="95"/>
    </row>
    <row r="14" spans="2:24" ht="27.6" thickBot="1" x14ac:dyDescent="1.05">
      <c r="B14" s="6">
        <v>9</v>
      </c>
      <c r="C14" s="90">
        <v>44998</v>
      </c>
      <c r="D14" s="91"/>
      <c r="E14" s="92"/>
      <c r="F14" s="93" t="s">
        <v>101</v>
      </c>
      <c r="G14" s="93"/>
      <c r="H14" s="4">
        <v>6950000</v>
      </c>
      <c r="I14" s="94">
        <v>211</v>
      </c>
      <c r="J14" s="95"/>
      <c r="K14" s="94"/>
      <c r="L14" s="96"/>
      <c r="M14" s="96"/>
      <c r="N14" s="95"/>
    </row>
    <row r="15" spans="2:24" ht="27.6" thickBot="1" x14ac:dyDescent="1.05">
      <c r="B15" s="6">
        <v>10</v>
      </c>
      <c r="C15" s="90">
        <v>44998</v>
      </c>
      <c r="D15" s="91"/>
      <c r="E15" s="92"/>
      <c r="F15" s="93" t="s">
        <v>103</v>
      </c>
      <c r="G15" s="93"/>
      <c r="H15" s="4">
        <v>36400000</v>
      </c>
      <c r="I15" s="94">
        <v>212</v>
      </c>
      <c r="J15" s="95"/>
      <c r="K15" s="94"/>
      <c r="L15" s="96"/>
      <c r="M15" s="96"/>
      <c r="N15" s="95"/>
    </row>
    <row r="16" spans="2:24" ht="27.6" thickBot="1" x14ac:dyDescent="1.05">
      <c r="B16" s="6">
        <v>11</v>
      </c>
      <c r="C16" s="90">
        <v>44998</v>
      </c>
      <c r="D16" s="91"/>
      <c r="E16" s="92"/>
      <c r="F16" s="93" t="s">
        <v>104</v>
      </c>
      <c r="G16" s="93"/>
      <c r="H16" s="4">
        <v>36400000</v>
      </c>
      <c r="I16" s="94">
        <v>213</v>
      </c>
      <c r="J16" s="95"/>
      <c r="K16" s="94"/>
      <c r="L16" s="96"/>
      <c r="M16" s="96"/>
      <c r="N16" s="95"/>
    </row>
    <row r="17" spans="2:14" ht="27.6" thickBot="1" x14ac:dyDescent="1.05">
      <c r="B17" s="6">
        <v>12</v>
      </c>
      <c r="C17" s="90">
        <v>44998</v>
      </c>
      <c r="D17" s="91"/>
      <c r="E17" s="92"/>
      <c r="F17" s="93" t="s">
        <v>102</v>
      </c>
      <c r="G17" s="93"/>
      <c r="H17" s="4">
        <v>39200000</v>
      </c>
      <c r="I17" s="94">
        <v>214</v>
      </c>
      <c r="J17" s="95"/>
      <c r="K17" s="94"/>
      <c r="L17" s="96"/>
      <c r="M17" s="96"/>
      <c r="N17" s="95"/>
    </row>
    <row r="18" spans="2:14" ht="27.6" thickBot="1" x14ac:dyDescent="1.05">
      <c r="B18" s="6">
        <v>13</v>
      </c>
      <c r="C18" s="90">
        <v>44998</v>
      </c>
      <c r="D18" s="91"/>
      <c r="E18" s="92"/>
      <c r="F18" s="93" t="s">
        <v>105</v>
      </c>
      <c r="G18" s="93"/>
      <c r="H18" s="4">
        <v>2300000</v>
      </c>
      <c r="I18" s="94">
        <v>215</v>
      </c>
      <c r="J18" s="95"/>
      <c r="K18" s="94"/>
      <c r="L18" s="96"/>
      <c r="M18" s="96"/>
      <c r="N18" s="95"/>
    </row>
    <row r="19" spans="2:14" ht="27.6" thickBot="1" x14ac:dyDescent="1.05">
      <c r="B19" s="6">
        <v>14</v>
      </c>
      <c r="C19" s="90">
        <v>44998</v>
      </c>
      <c r="D19" s="91"/>
      <c r="E19" s="92"/>
      <c r="F19" s="93" t="s">
        <v>106</v>
      </c>
      <c r="G19" s="93"/>
      <c r="H19" s="4">
        <v>1000000</v>
      </c>
      <c r="I19" s="94">
        <v>216</v>
      </c>
      <c r="J19" s="95"/>
      <c r="K19" s="94"/>
      <c r="L19" s="96"/>
      <c r="M19" s="96"/>
      <c r="N19" s="95"/>
    </row>
    <row r="20" spans="2:14" ht="27.6" thickBot="1" x14ac:dyDescent="1.05">
      <c r="B20" s="6">
        <v>15</v>
      </c>
      <c r="C20" s="90">
        <v>44999</v>
      </c>
      <c r="D20" s="91"/>
      <c r="E20" s="92"/>
      <c r="F20" s="93" t="s">
        <v>107</v>
      </c>
      <c r="G20" s="93"/>
      <c r="H20" s="4">
        <v>3750000</v>
      </c>
      <c r="I20" s="94">
        <v>217</v>
      </c>
      <c r="J20" s="95"/>
      <c r="K20" s="94"/>
      <c r="L20" s="96"/>
      <c r="M20" s="96"/>
      <c r="N20" s="95"/>
    </row>
    <row r="21" spans="2:14" ht="27.6" thickBot="1" x14ac:dyDescent="1.05">
      <c r="B21" s="6">
        <v>16</v>
      </c>
      <c r="C21" s="90">
        <v>44999</v>
      </c>
      <c r="D21" s="91"/>
      <c r="E21" s="92"/>
      <c r="F21" s="93" t="s">
        <v>108</v>
      </c>
      <c r="G21" s="93"/>
      <c r="H21" s="4">
        <v>4800000</v>
      </c>
      <c r="I21" s="94">
        <v>218</v>
      </c>
      <c r="J21" s="95"/>
      <c r="K21" s="94"/>
      <c r="L21" s="96"/>
      <c r="M21" s="96"/>
      <c r="N21" s="95"/>
    </row>
    <row r="22" spans="2:14" ht="27.6" thickBot="1" x14ac:dyDescent="1.05">
      <c r="B22" s="6">
        <v>17</v>
      </c>
      <c r="C22" s="90">
        <v>44999</v>
      </c>
      <c r="D22" s="91"/>
      <c r="E22" s="92"/>
      <c r="F22" s="93" t="s">
        <v>109</v>
      </c>
      <c r="G22" s="93"/>
      <c r="H22" s="4">
        <v>4500000</v>
      </c>
      <c r="I22" s="94">
        <v>219</v>
      </c>
      <c r="J22" s="95"/>
      <c r="K22" s="94"/>
      <c r="L22" s="96"/>
      <c r="M22" s="96"/>
      <c r="N22" s="95"/>
    </row>
    <row r="23" spans="2:14" ht="27.6" thickBot="1" x14ac:dyDescent="1.05">
      <c r="B23" s="6">
        <v>18</v>
      </c>
      <c r="C23" s="90">
        <v>44999</v>
      </c>
      <c r="D23" s="91"/>
      <c r="E23" s="92"/>
      <c r="F23" s="93" t="s">
        <v>110</v>
      </c>
      <c r="G23" s="93"/>
      <c r="H23" s="4">
        <v>4000000</v>
      </c>
      <c r="I23" s="94">
        <v>220</v>
      </c>
      <c r="J23" s="95"/>
      <c r="K23" s="94"/>
      <c r="L23" s="96"/>
      <c r="M23" s="96"/>
      <c r="N23" s="95"/>
    </row>
    <row r="24" spans="2:14" ht="27.6" thickBot="1" x14ac:dyDescent="1.05">
      <c r="B24" s="6">
        <v>19</v>
      </c>
      <c r="C24" s="90">
        <v>44999</v>
      </c>
      <c r="D24" s="91"/>
      <c r="E24" s="92"/>
      <c r="F24" s="93" t="s">
        <v>109</v>
      </c>
      <c r="G24" s="93"/>
      <c r="H24" s="4">
        <v>2500000</v>
      </c>
      <c r="I24" s="94">
        <v>221</v>
      </c>
      <c r="J24" s="95"/>
      <c r="K24" s="94"/>
      <c r="L24" s="96"/>
      <c r="M24" s="96"/>
      <c r="N24" s="95"/>
    </row>
    <row r="25" spans="2:14" ht="27.6" thickBot="1" x14ac:dyDescent="1.05">
      <c r="B25" s="6">
        <v>20</v>
      </c>
      <c r="C25" s="90">
        <v>45000</v>
      </c>
      <c r="D25" s="91"/>
      <c r="E25" s="92"/>
      <c r="F25" s="93" t="s">
        <v>111</v>
      </c>
      <c r="G25" s="93"/>
      <c r="H25" s="4">
        <v>4000000</v>
      </c>
      <c r="I25" s="94">
        <v>222</v>
      </c>
      <c r="J25" s="95"/>
      <c r="K25" s="94"/>
      <c r="L25" s="96"/>
      <c r="M25" s="96"/>
      <c r="N25" s="95"/>
    </row>
    <row r="26" spans="2:14" ht="27.6" thickBot="1" x14ac:dyDescent="1.05">
      <c r="B26" s="6">
        <v>21</v>
      </c>
      <c r="C26" s="90">
        <v>45000</v>
      </c>
      <c r="D26" s="91"/>
      <c r="E26" s="92"/>
      <c r="F26" s="93" t="s">
        <v>112</v>
      </c>
      <c r="G26" s="93"/>
      <c r="H26" s="4">
        <v>4000000</v>
      </c>
      <c r="I26" s="94">
        <v>223</v>
      </c>
      <c r="J26" s="95"/>
      <c r="K26" s="94"/>
      <c r="L26" s="96"/>
      <c r="M26" s="96"/>
      <c r="N26" s="95"/>
    </row>
    <row r="27" spans="2:14" ht="27.6" thickBot="1" x14ac:dyDescent="1.05">
      <c r="B27" s="6">
        <v>22</v>
      </c>
      <c r="C27" s="90">
        <v>45000</v>
      </c>
      <c r="D27" s="91"/>
      <c r="E27" s="92"/>
      <c r="F27" s="93" t="s">
        <v>113</v>
      </c>
      <c r="G27" s="93"/>
      <c r="H27" s="4">
        <v>4000000</v>
      </c>
      <c r="I27" s="94">
        <v>224</v>
      </c>
      <c r="J27" s="95"/>
      <c r="K27" s="94"/>
      <c r="L27" s="96"/>
      <c r="M27" s="96"/>
      <c r="N27" s="95"/>
    </row>
    <row r="28" spans="2:14" ht="27.6" thickBot="1" x14ac:dyDescent="1.05">
      <c r="B28" s="6">
        <v>23</v>
      </c>
      <c r="C28" s="90">
        <v>45001</v>
      </c>
      <c r="D28" s="91"/>
      <c r="E28" s="92"/>
      <c r="F28" s="93" t="s">
        <v>114</v>
      </c>
      <c r="G28" s="93"/>
      <c r="H28" s="4">
        <v>2300000</v>
      </c>
      <c r="I28" s="94">
        <v>225</v>
      </c>
      <c r="J28" s="95"/>
      <c r="K28" s="94"/>
      <c r="L28" s="96"/>
      <c r="M28" s="96"/>
      <c r="N28" s="95"/>
    </row>
    <row r="29" spans="2:14" ht="27.6" thickBot="1" x14ac:dyDescent="1.05">
      <c r="B29" s="6">
        <v>24</v>
      </c>
      <c r="C29" s="90">
        <v>45001</v>
      </c>
      <c r="D29" s="91"/>
      <c r="E29" s="92"/>
      <c r="F29" s="93" t="s">
        <v>115</v>
      </c>
      <c r="G29" s="93"/>
      <c r="H29" s="4">
        <v>2000000</v>
      </c>
      <c r="I29" s="94">
        <v>226</v>
      </c>
      <c r="J29" s="95"/>
      <c r="K29" s="94"/>
      <c r="L29" s="96"/>
      <c r="M29" s="96"/>
      <c r="N29" s="95"/>
    </row>
    <row r="30" spans="2:14" ht="27.6" thickBot="1" x14ac:dyDescent="1.05">
      <c r="B30" s="6">
        <v>25</v>
      </c>
      <c r="C30" s="90">
        <v>45001</v>
      </c>
      <c r="D30" s="91"/>
      <c r="E30" s="92"/>
      <c r="F30" s="94" t="s">
        <v>116</v>
      </c>
      <c r="G30" s="95"/>
      <c r="H30" s="5">
        <v>1800000</v>
      </c>
      <c r="I30" s="94">
        <v>227</v>
      </c>
      <c r="J30" s="95"/>
      <c r="K30" s="94"/>
      <c r="L30" s="96"/>
      <c r="M30" s="96"/>
      <c r="N30" s="95"/>
    </row>
    <row r="31" spans="2:14" ht="27.6" thickBot="1" x14ac:dyDescent="1.05">
      <c r="B31" s="6">
        <v>26</v>
      </c>
      <c r="C31" s="90">
        <v>45001</v>
      </c>
      <c r="D31" s="91"/>
      <c r="E31" s="92"/>
      <c r="F31" s="94" t="s">
        <v>44</v>
      </c>
      <c r="G31" s="95"/>
      <c r="H31" s="5">
        <v>1800000</v>
      </c>
      <c r="I31" s="94">
        <v>228</v>
      </c>
      <c r="J31" s="95"/>
      <c r="K31" s="112"/>
      <c r="L31" s="113"/>
      <c r="M31" s="113"/>
      <c r="N31" s="114"/>
    </row>
    <row r="32" spans="2:14" s="1" customFormat="1" ht="29.4" customHeight="1" thickTop="1" thickBot="1" x14ac:dyDescent="0.3">
      <c r="B32" s="102" t="s">
        <v>12</v>
      </c>
      <c r="C32" s="102"/>
      <c r="D32" s="102"/>
      <c r="E32" s="102"/>
      <c r="F32" s="102"/>
      <c r="G32" s="103">
        <f>SUM(H6:H31)</f>
        <v>188458700</v>
      </c>
      <c r="H32" s="104"/>
      <c r="I32" s="104"/>
      <c r="J32" s="105"/>
      <c r="K32" s="106"/>
      <c r="L32" s="107"/>
      <c r="M32" s="107"/>
      <c r="N32" s="108"/>
    </row>
    <row r="33" spans="2:14" s="1" customFormat="1" ht="29.4" customHeight="1" thickBot="1" x14ac:dyDescent="0.3">
      <c r="B33" s="100" t="s">
        <v>13</v>
      </c>
      <c r="C33" s="100"/>
      <c r="D33" s="100"/>
      <c r="E33" s="100"/>
      <c r="F33" s="100"/>
      <c r="G33" s="109"/>
      <c r="H33" s="110"/>
      <c r="I33" s="110"/>
      <c r="J33" s="111"/>
      <c r="K33" s="97"/>
      <c r="L33" s="98"/>
      <c r="M33" s="98"/>
      <c r="N33" s="99"/>
    </row>
    <row r="34" spans="2:14" ht="82.2" customHeight="1" thickBot="1" x14ac:dyDescent="0.3">
      <c r="B34" s="101" t="s">
        <v>14</v>
      </c>
      <c r="C34" s="101"/>
      <c r="D34" s="101"/>
      <c r="E34" s="101"/>
      <c r="F34" s="101" t="s">
        <v>15</v>
      </c>
      <c r="G34" s="101"/>
      <c r="H34" s="101" t="s">
        <v>16</v>
      </c>
      <c r="I34" s="101"/>
      <c r="J34" s="101" t="s">
        <v>17</v>
      </c>
      <c r="K34" s="101"/>
      <c r="L34" s="101"/>
      <c r="M34" s="101"/>
      <c r="N34" s="101"/>
    </row>
  </sheetData>
  <mergeCells count="126">
    <mergeCell ref="C5:E5"/>
    <mergeCell ref="F5:G5"/>
    <mergeCell ref="I5:J5"/>
    <mergeCell ref="K5:N5"/>
    <mergeCell ref="C6:E6"/>
    <mergeCell ref="F6:G6"/>
    <mergeCell ref="I6:J6"/>
    <mergeCell ref="K6:N6"/>
    <mergeCell ref="B2:E3"/>
    <mergeCell ref="F2:H3"/>
    <mergeCell ref="J2:K2"/>
    <mergeCell ref="M2:N2"/>
    <mergeCell ref="J3:N3"/>
    <mergeCell ref="B4:D4"/>
    <mergeCell ref="E4:F4"/>
    <mergeCell ref="J4:N4"/>
    <mergeCell ref="C9:E9"/>
    <mergeCell ref="F9:G9"/>
    <mergeCell ref="I9:J9"/>
    <mergeCell ref="K9:N9"/>
    <mergeCell ref="C10:E10"/>
    <mergeCell ref="F10:G10"/>
    <mergeCell ref="I10:J10"/>
    <mergeCell ref="K10:N10"/>
    <mergeCell ref="C7:E7"/>
    <mergeCell ref="F7:G7"/>
    <mergeCell ref="I7:J7"/>
    <mergeCell ref="K7:N7"/>
    <mergeCell ref="C8:E8"/>
    <mergeCell ref="F8:G8"/>
    <mergeCell ref="I8:J8"/>
    <mergeCell ref="K8:N8"/>
    <mergeCell ref="C13:E13"/>
    <mergeCell ref="F13:G13"/>
    <mergeCell ref="I13:J13"/>
    <mergeCell ref="K13:N13"/>
    <mergeCell ref="C14:E14"/>
    <mergeCell ref="F14:G14"/>
    <mergeCell ref="I14:J14"/>
    <mergeCell ref="K14:N14"/>
    <mergeCell ref="C11:E11"/>
    <mergeCell ref="F11:G11"/>
    <mergeCell ref="I11:J11"/>
    <mergeCell ref="K11:N11"/>
    <mergeCell ref="C12:E12"/>
    <mergeCell ref="F12:G12"/>
    <mergeCell ref="I12:J12"/>
    <mergeCell ref="K12:N12"/>
    <mergeCell ref="C17:E17"/>
    <mergeCell ref="F17:G17"/>
    <mergeCell ref="I17:J17"/>
    <mergeCell ref="K17:N17"/>
    <mergeCell ref="C18:E18"/>
    <mergeCell ref="F18:G18"/>
    <mergeCell ref="I18:J18"/>
    <mergeCell ref="K18:N18"/>
    <mergeCell ref="C15:E15"/>
    <mergeCell ref="F15:G15"/>
    <mergeCell ref="I15:J15"/>
    <mergeCell ref="K15:N15"/>
    <mergeCell ref="C16:E16"/>
    <mergeCell ref="F16:G16"/>
    <mergeCell ref="I16:J16"/>
    <mergeCell ref="K16:N16"/>
    <mergeCell ref="C21:E21"/>
    <mergeCell ref="F21:G21"/>
    <mergeCell ref="I21:J21"/>
    <mergeCell ref="K21:N21"/>
    <mergeCell ref="C22:E22"/>
    <mergeCell ref="F22:G22"/>
    <mergeCell ref="I22:J22"/>
    <mergeCell ref="K22:N22"/>
    <mergeCell ref="C19:E19"/>
    <mergeCell ref="F19:G19"/>
    <mergeCell ref="I19:J19"/>
    <mergeCell ref="K19:N19"/>
    <mergeCell ref="C20:E20"/>
    <mergeCell ref="F20:G20"/>
    <mergeCell ref="I20:J20"/>
    <mergeCell ref="K20:N20"/>
    <mergeCell ref="C25:E25"/>
    <mergeCell ref="F25:G25"/>
    <mergeCell ref="I25:J25"/>
    <mergeCell ref="K25:N25"/>
    <mergeCell ref="C26:E26"/>
    <mergeCell ref="F26:G26"/>
    <mergeCell ref="I26:J26"/>
    <mergeCell ref="K26:N26"/>
    <mergeCell ref="C23:E23"/>
    <mergeCell ref="F23:G23"/>
    <mergeCell ref="I23:J23"/>
    <mergeCell ref="K23:N23"/>
    <mergeCell ref="C24:E24"/>
    <mergeCell ref="F24:G24"/>
    <mergeCell ref="I24:J24"/>
    <mergeCell ref="K24:N24"/>
    <mergeCell ref="C29:E29"/>
    <mergeCell ref="F29:G29"/>
    <mergeCell ref="I29:J29"/>
    <mergeCell ref="K29:N29"/>
    <mergeCell ref="C31:E31"/>
    <mergeCell ref="F31:G31"/>
    <mergeCell ref="I31:J31"/>
    <mergeCell ref="C27:E27"/>
    <mergeCell ref="F27:G27"/>
    <mergeCell ref="I27:J27"/>
    <mergeCell ref="K27:N27"/>
    <mergeCell ref="C28:E28"/>
    <mergeCell ref="F28:G28"/>
    <mergeCell ref="I28:J28"/>
    <mergeCell ref="K28:N28"/>
    <mergeCell ref="C30:E30"/>
    <mergeCell ref="F30:G30"/>
    <mergeCell ref="I30:J30"/>
    <mergeCell ref="K30:N30"/>
    <mergeCell ref="K31:N31"/>
    <mergeCell ref="B34:E34"/>
    <mergeCell ref="F34:G34"/>
    <mergeCell ref="H34:I34"/>
    <mergeCell ref="J34:N34"/>
    <mergeCell ref="B32:F32"/>
    <mergeCell ref="G32:J32"/>
    <mergeCell ref="K32:N32"/>
    <mergeCell ref="B33:F33"/>
    <mergeCell ref="G33:J33"/>
    <mergeCell ref="K33:N33"/>
  </mergeCells>
  <printOptions horizontalCentered="1" verticalCentered="1"/>
  <pageMargins left="0" right="0.23622047244094491" top="0" bottom="0.17" header="0" footer="0.4"/>
  <pageSetup paperSize="9" scale="71" orientation="portrait" r:id="rId1"/>
  <colBreaks count="2" manualBreakCount="2">
    <brk id="1" max="1048575" man="1"/>
    <brk id="10" min="1" max="32" man="1"/>
  </colBreak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B1:X33"/>
  <sheetViews>
    <sheetView rightToLeft="1" showWhiteSpace="0" topLeftCell="A9" zoomScale="70" zoomScaleNormal="70" zoomScalePageLayoutView="40" workbookViewId="0">
      <selection activeCell="G31" sqref="G31:J31"/>
    </sheetView>
  </sheetViews>
  <sheetFormatPr defaultRowHeight="13.8" x14ac:dyDescent="0.25"/>
  <cols>
    <col min="2" max="2" width="5.5" customWidth="1"/>
    <col min="3" max="3" width="4.19921875" customWidth="1"/>
    <col min="4" max="4" width="7.19921875" customWidth="1"/>
    <col min="5" max="5" width="4" customWidth="1"/>
    <col min="6" max="6" width="15.59765625" customWidth="1"/>
    <col min="7" max="7" width="17.09765625" customWidth="1"/>
    <col min="8" max="8" width="19.69921875" customWidth="1"/>
    <col min="9" max="9" width="12.5" bestFit="1" customWidth="1"/>
    <col min="10" max="10" width="4.69921875" customWidth="1"/>
    <col min="11" max="11" width="13.5" customWidth="1"/>
    <col min="12" max="13" width="9.5" customWidth="1"/>
    <col min="14" max="14" width="5.09765625" customWidth="1"/>
  </cols>
  <sheetData>
    <row r="1" spans="2:24" ht="14.4" thickBot="1" x14ac:dyDescent="0.3"/>
    <row r="2" spans="2:24" ht="24.6" customHeight="1" thickBot="1" x14ac:dyDescent="0.8">
      <c r="B2" s="81"/>
      <c r="C2" s="81"/>
      <c r="D2" s="81"/>
      <c r="E2" s="81"/>
      <c r="F2" s="82" t="s">
        <v>18</v>
      </c>
      <c r="G2" s="82"/>
      <c r="H2" s="82"/>
      <c r="I2" s="22" t="s">
        <v>0</v>
      </c>
      <c r="J2" s="83"/>
      <c r="K2" s="84"/>
      <c r="L2" s="22" t="s">
        <v>1</v>
      </c>
      <c r="M2" s="83"/>
      <c r="N2" s="84"/>
    </row>
    <row r="3" spans="2:24" ht="34.950000000000003" customHeight="1" thickBot="1" x14ac:dyDescent="0.3">
      <c r="B3" s="81"/>
      <c r="C3" s="81"/>
      <c r="D3" s="81"/>
      <c r="E3" s="81"/>
      <c r="F3" s="82"/>
      <c r="G3" s="82"/>
      <c r="H3" s="82"/>
      <c r="I3" s="9" t="s">
        <v>4</v>
      </c>
      <c r="J3" s="85"/>
      <c r="K3" s="85"/>
      <c r="L3" s="85"/>
      <c r="M3" s="85"/>
      <c r="N3" s="86"/>
    </row>
    <row r="4" spans="2:24" ht="24" thickBot="1" x14ac:dyDescent="0.8">
      <c r="B4" s="87" t="s">
        <v>2</v>
      </c>
      <c r="C4" s="87"/>
      <c r="D4" s="88"/>
      <c r="E4" s="84"/>
      <c r="F4" s="89"/>
      <c r="G4" s="22" t="s">
        <v>3</v>
      </c>
      <c r="H4" s="2"/>
      <c r="I4" s="22" t="s">
        <v>5</v>
      </c>
      <c r="J4" s="83"/>
      <c r="K4" s="83"/>
      <c r="L4" s="83"/>
      <c r="M4" s="83"/>
      <c r="N4" s="84"/>
    </row>
    <row r="5" spans="2:24" s="1" customFormat="1" ht="29.4" customHeight="1" thickBot="1" x14ac:dyDescent="0.3">
      <c r="B5" s="18" t="s">
        <v>6</v>
      </c>
      <c r="C5" s="100" t="s">
        <v>7</v>
      </c>
      <c r="D5" s="100"/>
      <c r="E5" s="100"/>
      <c r="F5" s="100" t="s">
        <v>8</v>
      </c>
      <c r="G5" s="100"/>
      <c r="H5" s="18" t="s">
        <v>9</v>
      </c>
      <c r="I5" s="97" t="s">
        <v>10</v>
      </c>
      <c r="J5" s="99"/>
      <c r="K5" s="97" t="s">
        <v>11</v>
      </c>
      <c r="L5" s="98"/>
      <c r="M5" s="98"/>
      <c r="N5" s="99"/>
    </row>
    <row r="6" spans="2:24" ht="27.6" thickBot="1" x14ac:dyDescent="1.05">
      <c r="B6" s="6">
        <v>1</v>
      </c>
      <c r="C6" s="90">
        <v>44989</v>
      </c>
      <c r="D6" s="91"/>
      <c r="E6" s="92"/>
      <c r="F6" s="93" t="s">
        <v>78</v>
      </c>
      <c r="G6" s="93"/>
      <c r="H6" s="4">
        <v>2200000</v>
      </c>
      <c r="I6" s="94">
        <v>178</v>
      </c>
      <c r="J6" s="95"/>
      <c r="K6" s="94"/>
      <c r="L6" s="96"/>
      <c r="M6" s="96"/>
      <c r="N6" s="95"/>
    </row>
    <row r="7" spans="2:24" ht="27.6" thickBot="1" x14ac:dyDescent="1.05">
      <c r="B7" s="6">
        <v>2</v>
      </c>
      <c r="C7" s="90">
        <v>44989</v>
      </c>
      <c r="D7" s="91"/>
      <c r="E7" s="92"/>
      <c r="F7" s="93" t="s">
        <v>21</v>
      </c>
      <c r="G7" s="93"/>
      <c r="H7" s="4">
        <v>990000</v>
      </c>
      <c r="I7" s="94">
        <v>179</v>
      </c>
      <c r="J7" s="95"/>
      <c r="K7" s="94"/>
      <c r="L7" s="96"/>
      <c r="M7" s="96"/>
      <c r="N7" s="95"/>
    </row>
    <row r="8" spans="2:24" ht="27.6" thickBot="1" x14ac:dyDescent="1.05">
      <c r="B8" s="6">
        <v>3</v>
      </c>
      <c r="C8" s="90">
        <v>44990</v>
      </c>
      <c r="D8" s="91"/>
      <c r="E8" s="92"/>
      <c r="F8" s="93" t="s">
        <v>80</v>
      </c>
      <c r="G8" s="93"/>
      <c r="H8" s="4">
        <v>1115000</v>
      </c>
      <c r="I8" s="94">
        <v>180</v>
      </c>
      <c r="J8" s="95"/>
      <c r="K8" s="94"/>
      <c r="L8" s="96"/>
      <c r="M8" s="96"/>
      <c r="N8" s="95"/>
    </row>
    <row r="9" spans="2:24" s="1" customFormat="1" ht="27.6" thickBot="1" x14ac:dyDescent="0.35">
      <c r="B9" s="14">
        <v>4</v>
      </c>
      <c r="C9" s="90">
        <v>44990</v>
      </c>
      <c r="D9" s="91"/>
      <c r="E9" s="92"/>
      <c r="F9" s="115" t="s">
        <v>81</v>
      </c>
      <c r="G9" s="115"/>
      <c r="H9" s="15">
        <v>2200000</v>
      </c>
      <c r="I9" s="94">
        <v>181</v>
      </c>
      <c r="J9" s="95"/>
      <c r="K9" s="97"/>
      <c r="L9" s="98"/>
      <c r="M9" s="98"/>
      <c r="N9" s="99"/>
    </row>
    <row r="10" spans="2:24" ht="27.6" thickBot="1" x14ac:dyDescent="1.05">
      <c r="B10" s="6">
        <v>5</v>
      </c>
      <c r="C10" s="90">
        <v>44990</v>
      </c>
      <c r="D10" s="91"/>
      <c r="E10" s="92"/>
      <c r="F10" s="93" t="s">
        <v>44</v>
      </c>
      <c r="G10" s="93"/>
      <c r="H10" s="4">
        <v>1200000</v>
      </c>
      <c r="I10" s="94">
        <v>182</v>
      </c>
      <c r="J10" s="95"/>
      <c r="K10" s="94"/>
      <c r="L10" s="96"/>
      <c r="M10" s="96"/>
      <c r="N10" s="95"/>
    </row>
    <row r="11" spans="2:24" ht="27.6" thickBot="1" x14ac:dyDescent="1.05">
      <c r="B11" s="6">
        <v>6</v>
      </c>
      <c r="C11" s="90">
        <v>44990</v>
      </c>
      <c r="D11" s="91"/>
      <c r="E11" s="92"/>
      <c r="F11" s="93" t="s">
        <v>82</v>
      </c>
      <c r="G11" s="93"/>
      <c r="H11" s="4">
        <v>1100000</v>
      </c>
      <c r="I11" s="94">
        <v>183</v>
      </c>
      <c r="J11" s="95"/>
      <c r="K11" s="94"/>
      <c r="L11" s="96"/>
      <c r="M11" s="96"/>
      <c r="N11" s="95"/>
      <c r="T11" s="25"/>
      <c r="U11" s="25"/>
      <c r="V11" s="25"/>
      <c r="W11" s="25"/>
      <c r="X11" s="25"/>
    </row>
    <row r="12" spans="2:24" ht="27.6" thickBot="1" x14ac:dyDescent="1.05">
      <c r="B12" s="6">
        <v>7</v>
      </c>
      <c r="C12" s="90">
        <v>44991</v>
      </c>
      <c r="D12" s="91"/>
      <c r="E12" s="92"/>
      <c r="F12" s="93" t="s">
        <v>79</v>
      </c>
      <c r="G12" s="93"/>
      <c r="H12" s="4">
        <v>32570000</v>
      </c>
      <c r="I12" s="94">
        <v>184</v>
      </c>
      <c r="J12" s="95"/>
      <c r="K12" s="94"/>
      <c r="L12" s="96"/>
      <c r="M12" s="96"/>
      <c r="N12" s="95"/>
    </row>
    <row r="13" spans="2:24" ht="27.6" thickBot="1" x14ac:dyDescent="1.05">
      <c r="B13" s="6">
        <v>8</v>
      </c>
      <c r="C13" s="90">
        <v>44991</v>
      </c>
      <c r="D13" s="91"/>
      <c r="E13" s="92"/>
      <c r="F13" s="93" t="s">
        <v>80</v>
      </c>
      <c r="G13" s="93"/>
      <c r="H13" s="4">
        <v>2500000</v>
      </c>
      <c r="I13" s="94">
        <v>185</v>
      </c>
      <c r="J13" s="95"/>
      <c r="K13" s="94"/>
      <c r="L13" s="96"/>
      <c r="M13" s="96"/>
      <c r="N13" s="95"/>
    </row>
    <row r="14" spans="2:24" ht="27.6" thickBot="1" x14ac:dyDescent="1.05">
      <c r="B14" s="6">
        <v>9</v>
      </c>
      <c r="C14" s="90">
        <v>44992</v>
      </c>
      <c r="D14" s="91"/>
      <c r="E14" s="92"/>
      <c r="F14" s="93" t="s">
        <v>83</v>
      </c>
      <c r="G14" s="93"/>
      <c r="H14" s="4">
        <v>200000</v>
      </c>
      <c r="I14" s="94">
        <v>186</v>
      </c>
      <c r="J14" s="95"/>
      <c r="K14" s="94"/>
      <c r="L14" s="96"/>
      <c r="M14" s="96"/>
      <c r="N14" s="95"/>
    </row>
    <row r="15" spans="2:24" ht="27.6" thickBot="1" x14ac:dyDescent="1.05">
      <c r="B15" s="6">
        <v>10</v>
      </c>
      <c r="C15" s="90">
        <v>44992</v>
      </c>
      <c r="D15" s="91"/>
      <c r="E15" s="92"/>
      <c r="F15" s="93" t="s">
        <v>85</v>
      </c>
      <c r="G15" s="93"/>
      <c r="H15" s="4">
        <v>4000000</v>
      </c>
      <c r="I15" s="94">
        <v>187</v>
      </c>
      <c r="J15" s="95"/>
      <c r="K15" s="94"/>
      <c r="L15" s="96"/>
      <c r="M15" s="96"/>
      <c r="N15" s="95"/>
    </row>
    <row r="16" spans="2:24" ht="27.6" thickBot="1" x14ac:dyDescent="1.05">
      <c r="B16" s="6">
        <v>11</v>
      </c>
      <c r="C16" s="90">
        <v>44993</v>
      </c>
      <c r="D16" s="91"/>
      <c r="E16" s="92"/>
      <c r="F16" s="93" t="s">
        <v>84</v>
      </c>
      <c r="G16" s="93"/>
      <c r="H16" s="4">
        <v>12250000</v>
      </c>
      <c r="I16" s="94">
        <v>188</v>
      </c>
      <c r="J16" s="95"/>
      <c r="K16" s="94"/>
      <c r="L16" s="96"/>
      <c r="M16" s="96"/>
      <c r="N16" s="95"/>
    </row>
    <row r="17" spans="2:14" ht="27.6" thickBot="1" x14ac:dyDescent="1.05">
      <c r="B17" s="6">
        <v>12</v>
      </c>
      <c r="C17" s="90">
        <v>44993</v>
      </c>
      <c r="D17" s="91"/>
      <c r="E17" s="92"/>
      <c r="F17" s="93" t="s">
        <v>86</v>
      </c>
      <c r="G17" s="93"/>
      <c r="H17" s="4">
        <v>1300000</v>
      </c>
      <c r="I17" s="94">
        <v>189</v>
      </c>
      <c r="J17" s="95"/>
      <c r="K17" s="94"/>
      <c r="L17" s="96"/>
      <c r="M17" s="96"/>
      <c r="N17" s="95"/>
    </row>
    <row r="18" spans="2:14" ht="27.6" thickBot="1" x14ac:dyDescent="1.05">
      <c r="B18" s="6">
        <v>13</v>
      </c>
      <c r="C18" s="90">
        <v>44994</v>
      </c>
      <c r="D18" s="91"/>
      <c r="E18" s="92"/>
      <c r="F18" s="93" t="s">
        <v>87</v>
      </c>
      <c r="G18" s="93"/>
      <c r="H18" s="4">
        <v>3000000</v>
      </c>
      <c r="I18" s="94">
        <v>190</v>
      </c>
      <c r="J18" s="95"/>
      <c r="K18" s="94"/>
      <c r="L18" s="96"/>
      <c r="M18" s="96"/>
      <c r="N18" s="95"/>
    </row>
    <row r="19" spans="2:14" ht="27.6" thickBot="1" x14ac:dyDescent="1.05">
      <c r="B19" s="6">
        <v>14</v>
      </c>
      <c r="C19" s="90">
        <v>44996</v>
      </c>
      <c r="D19" s="91"/>
      <c r="E19" s="92"/>
      <c r="F19" s="93" t="s">
        <v>88</v>
      </c>
      <c r="G19" s="93"/>
      <c r="H19" s="4">
        <v>880000</v>
      </c>
      <c r="I19" s="94">
        <v>191</v>
      </c>
      <c r="J19" s="95"/>
      <c r="K19" s="94"/>
      <c r="L19" s="96"/>
      <c r="M19" s="96"/>
      <c r="N19" s="95"/>
    </row>
    <row r="20" spans="2:14" ht="27.6" thickBot="1" x14ac:dyDescent="1.05">
      <c r="B20" s="6">
        <v>15</v>
      </c>
      <c r="C20" s="90">
        <v>44996</v>
      </c>
      <c r="D20" s="91"/>
      <c r="E20" s="92"/>
      <c r="F20" s="93" t="s">
        <v>89</v>
      </c>
      <c r="G20" s="93"/>
      <c r="H20" s="4">
        <v>3600000</v>
      </c>
      <c r="I20" s="94">
        <v>192</v>
      </c>
      <c r="J20" s="95"/>
      <c r="K20" s="94"/>
      <c r="L20" s="96"/>
      <c r="M20" s="96"/>
      <c r="N20" s="95"/>
    </row>
    <row r="21" spans="2:14" ht="27.6" thickBot="1" x14ac:dyDescent="1.05">
      <c r="B21" s="6">
        <v>16</v>
      </c>
      <c r="C21" s="90">
        <v>44996</v>
      </c>
      <c r="D21" s="91"/>
      <c r="E21" s="92"/>
      <c r="F21" s="93" t="s">
        <v>90</v>
      </c>
      <c r="G21" s="93"/>
      <c r="H21" s="4">
        <v>1500000</v>
      </c>
      <c r="I21" s="94">
        <v>193</v>
      </c>
      <c r="J21" s="95"/>
      <c r="K21" s="94"/>
      <c r="L21" s="96"/>
      <c r="M21" s="96"/>
      <c r="N21" s="95"/>
    </row>
    <row r="22" spans="2:14" ht="27.6" thickBot="1" x14ac:dyDescent="1.05">
      <c r="B22" s="6">
        <v>17</v>
      </c>
      <c r="C22" s="90">
        <v>44997</v>
      </c>
      <c r="D22" s="91"/>
      <c r="E22" s="92"/>
      <c r="F22" s="93" t="s">
        <v>39</v>
      </c>
      <c r="G22" s="93"/>
      <c r="H22" s="4">
        <v>18000000</v>
      </c>
      <c r="I22" s="94">
        <v>194</v>
      </c>
      <c r="J22" s="95"/>
      <c r="K22" s="94"/>
      <c r="L22" s="96"/>
      <c r="M22" s="96"/>
      <c r="N22" s="95"/>
    </row>
    <row r="23" spans="2:14" ht="27.6" thickBot="1" x14ac:dyDescent="1.05">
      <c r="B23" s="6">
        <v>18</v>
      </c>
      <c r="C23" s="90">
        <v>44997</v>
      </c>
      <c r="D23" s="91"/>
      <c r="E23" s="92"/>
      <c r="F23" s="93" t="s">
        <v>91</v>
      </c>
      <c r="G23" s="93"/>
      <c r="H23" s="4">
        <v>22600000</v>
      </c>
      <c r="I23" s="94">
        <v>195</v>
      </c>
      <c r="J23" s="95"/>
      <c r="K23" s="94"/>
      <c r="L23" s="96"/>
      <c r="M23" s="96"/>
      <c r="N23" s="95"/>
    </row>
    <row r="24" spans="2:14" ht="27.6" thickBot="1" x14ac:dyDescent="1.05">
      <c r="B24" s="6">
        <v>19</v>
      </c>
      <c r="C24" s="90">
        <v>44997</v>
      </c>
      <c r="D24" s="91"/>
      <c r="E24" s="92"/>
      <c r="F24" s="93" t="s">
        <v>59</v>
      </c>
      <c r="G24" s="93"/>
      <c r="H24" s="4">
        <v>2710000</v>
      </c>
      <c r="I24" s="94">
        <v>196</v>
      </c>
      <c r="J24" s="95"/>
      <c r="K24" s="94"/>
      <c r="L24" s="96"/>
      <c r="M24" s="96"/>
      <c r="N24" s="95"/>
    </row>
    <row r="25" spans="2:14" ht="27.6" thickBot="1" x14ac:dyDescent="1.05">
      <c r="B25" s="6">
        <v>20</v>
      </c>
      <c r="C25" s="90">
        <v>44997</v>
      </c>
      <c r="D25" s="91"/>
      <c r="E25" s="92"/>
      <c r="F25" s="93" t="s">
        <v>92</v>
      </c>
      <c r="G25" s="93"/>
      <c r="H25" s="4">
        <v>39000000</v>
      </c>
      <c r="I25" s="94">
        <v>197</v>
      </c>
      <c r="J25" s="95"/>
      <c r="K25" s="94"/>
      <c r="L25" s="96"/>
      <c r="M25" s="96"/>
      <c r="N25" s="95"/>
    </row>
    <row r="26" spans="2:14" ht="27.6" thickBot="1" x14ac:dyDescent="1.05">
      <c r="B26" s="6">
        <v>21</v>
      </c>
      <c r="C26" s="90">
        <v>44997</v>
      </c>
      <c r="D26" s="91"/>
      <c r="E26" s="92"/>
      <c r="F26" s="93" t="s">
        <v>93</v>
      </c>
      <c r="G26" s="93"/>
      <c r="H26" s="4">
        <v>34500000</v>
      </c>
      <c r="I26" s="94">
        <v>198</v>
      </c>
      <c r="J26" s="95"/>
      <c r="K26" s="94"/>
      <c r="L26" s="96"/>
      <c r="M26" s="96"/>
      <c r="N26" s="95"/>
    </row>
    <row r="27" spans="2:14" ht="27.6" thickBot="1" x14ac:dyDescent="1.05">
      <c r="B27" s="6">
        <v>22</v>
      </c>
      <c r="C27" s="90">
        <v>44997</v>
      </c>
      <c r="D27" s="91"/>
      <c r="E27" s="92"/>
      <c r="F27" s="93" t="s">
        <v>94</v>
      </c>
      <c r="G27" s="93"/>
      <c r="H27" s="4">
        <v>9500000</v>
      </c>
      <c r="I27" s="94">
        <v>199</v>
      </c>
      <c r="J27" s="95"/>
      <c r="K27" s="94"/>
      <c r="L27" s="96"/>
      <c r="M27" s="96"/>
      <c r="N27" s="95"/>
    </row>
    <row r="28" spans="2:14" ht="27.6" thickBot="1" x14ac:dyDescent="1.05">
      <c r="B28" s="6">
        <v>23</v>
      </c>
      <c r="C28" s="90">
        <v>44994</v>
      </c>
      <c r="D28" s="91"/>
      <c r="E28" s="92"/>
      <c r="F28" s="93" t="s">
        <v>95</v>
      </c>
      <c r="G28" s="93"/>
      <c r="H28" s="4">
        <v>150000</v>
      </c>
      <c r="I28" s="94">
        <v>200</v>
      </c>
      <c r="J28" s="95"/>
      <c r="K28" s="94"/>
      <c r="L28" s="96"/>
      <c r="M28" s="96"/>
      <c r="N28" s="95"/>
    </row>
    <row r="29" spans="2:14" ht="27.6" thickBot="1" x14ac:dyDescent="1.05">
      <c r="B29" s="6">
        <v>24</v>
      </c>
      <c r="C29" s="90">
        <v>44997</v>
      </c>
      <c r="D29" s="91"/>
      <c r="E29" s="92"/>
      <c r="F29" s="93" t="s">
        <v>96</v>
      </c>
      <c r="G29" s="93"/>
      <c r="H29" s="4">
        <v>1860000</v>
      </c>
      <c r="I29" s="94">
        <v>201</v>
      </c>
      <c r="J29" s="95"/>
      <c r="K29" s="94"/>
      <c r="L29" s="96"/>
      <c r="M29" s="96"/>
      <c r="N29" s="95"/>
    </row>
    <row r="30" spans="2:14" ht="27.6" thickBot="1" x14ac:dyDescent="1.05">
      <c r="B30" s="6">
        <v>25</v>
      </c>
      <c r="C30" s="90">
        <v>44997</v>
      </c>
      <c r="D30" s="91"/>
      <c r="E30" s="92"/>
      <c r="F30" s="94" t="s">
        <v>41</v>
      </c>
      <c r="G30" s="95"/>
      <c r="H30" s="5">
        <v>900600</v>
      </c>
      <c r="I30" s="94">
        <v>202</v>
      </c>
      <c r="J30" s="95"/>
      <c r="K30" s="19"/>
      <c r="L30" s="21"/>
      <c r="M30" s="21"/>
      <c r="N30" s="20"/>
    </row>
    <row r="31" spans="2:14" s="1" customFormat="1" ht="29.4" customHeight="1" thickTop="1" thickBot="1" x14ac:dyDescent="0.3">
      <c r="B31" s="102" t="s">
        <v>12</v>
      </c>
      <c r="C31" s="102"/>
      <c r="D31" s="102"/>
      <c r="E31" s="102"/>
      <c r="F31" s="102"/>
      <c r="G31" s="103">
        <f>SUM(H6:H30)</f>
        <v>199825600</v>
      </c>
      <c r="H31" s="104"/>
      <c r="I31" s="104"/>
      <c r="J31" s="105"/>
      <c r="K31" s="106"/>
      <c r="L31" s="107"/>
      <c r="M31" s="107"/>
      <c r="N31" s="108"/>
    </row>
    <row r="32" spans="2:14" s="1" customFormat="1" ht="29.4" customHeight="1" thickBot="1" x14ac:dyDescent="0.3">
      <c r="B32" s="100" t="s">
        <v>13</v>
      </c>
      <c r="C32" s="100"/>
      <c r="D32" s="100"/>
      <c r="E32" s="100"/>
      <c r="F32" s="100"/>
      <c r="G32" s="109"/>
      <c r="H32" s="110"/>
      <c r="I32" s="110"/>
      <c r="J32" s="111"/>
      <c r="K32" s="97"/>
      <c r="L32" s="98"/>
      <c r="M32" s="98"/>
      <c r="N32" s="99"/>
    </row>
    <row r="33" spans="2:14" ht="82.2" customHeight="1" thickBot="1" x14ac:dyDescent="0.3">
      <c r="B33" s="101" t="s">
        <v>14</v>
      </c>
      <c r="C33" s="101"/>
      <c r="D33" s="101"/>
      <c r="E33" s="101"/>
      <c r="F33" s="101" t="s">
        <v>15</v>
      </c>
      <c r="G33" s="101"/>
      <c r="H33" s="101" t="s">
        <v>16</v>
      </c>
      <c r="I33" s="101"/>
      <c r="J33" s="101" t="s">
        <v>17</v>
      </c>
      <c r="K33" s="101"/>
      <c r="L33" s="101"/>
      <c r="M33" s="101"/>
      <c r="N33" s="101"/>
    </row>
  </sheetData>
  <mergeCells count="121">
    <mergeCell ref="B33:E33"/>
    <mergeCell ref="F33:G33"/>
    <mergeCell ref="H33:I33"/>
    <mergeCell ref="J33:N33"/>
    <mergeCell ref="B31:F31"/>
    <mergeCell ref="G31:J31"/>
    <mergeCell ref="K31:N31"/>
    <mergeCell ref="B32:F32"/>
    <mergeCell ref="G32:J32"/>
    <mergeCell ref="K32:N32"/>
    <mergeCell ref="C29:E29"/>
    <mergeCell ref="F29:G29"/>
    <mergeCell ref="I29:J29"/>
    <mergeCell ref="K29:N29"/>
    <mergeCell ref="C30:E30"/>
    <mergeCell ref="F30:G30"/>
    <mergeCell ref="I30:J30"/>
    <mergeCell ref="C27:E27"/>
    <mergeCell ref="F27:G27"/>
    <mergeCell ref="I27:J27"/>
    <mergeCell ref="K27:N27"/>
    <mergeCell ref="C28:E28"/>
    <mergeCell ref="F28:G28"/>
    <mergeCell ref="I28:J28"/>
    <mergeCell ref="K28:N28"/>
    <mergeCell ref="C25:E25"/>
    <mergeCell ref="F25:G25"/>
    <mergeCell ref="I25:J25"/>
    <mergeCell ref="K25:N25"/>
    <mergeCell ref="C26:E26"/>
    <mergeCell ref="F26:G26"/>
    <mergeCell ref="I26:J26"/>
    <mergeCell ref="K26:N26"/>
    <mergeCell ref="C23:E23"/>
    <mergeCell ref="F23:G23"/>
    <mergeCell ref="I23:J23"/>
    <mergeCell ref="K23:N23"/>
    <mergeCell ref="C24:E24"/>
    <mergeCell ref="F24:G24"/>
    <mergeCell ref="I24:J24"/>
    <mergeCell ref="K24:N24"/>
    <mergeCell ref="C21:E21"/>
    <mergeCell ref="F21:G21"/>
    <mergeCell ref="I21:J21"/>
    <mergeCell ref="K21:N21"/>
    <mergeCell ref="C22:E22"/>
    <mergeCell ref="F22:G22"/>
    <mergeCell ref="I22:J22"/>
    <mergeCell ref="K22:N22"/>
    <mergeCell ref="C19:E19"/>
    <mergeCell ref="F19:G19"/>
    <mergeCell ref="I19:J19"/>
    <mergeCell ref="K19:N19"/>
    <mergeCell ref="C20:E20"/>
    <mergeCell ref="F20:G20"/>
    <mergeCell ref="I20:J20"/>
    <mergeCell ref="K20:N20"/>
    <mergeCell ref="C17:E17"/>
    <mergeCell ref="F17:G17"/>
    <mergeCell ref="I17:J17"/>
    <mergeCell ref="K17:N17"/>
    <mergeCell ref="C18:E18"/>
    <mergeCell ref="F18:G18"/>
    <mergeCell ref="I18:J18"/>
    <mergeCell ref="K18:N18"/>
    <mergeCell ref="C15:E15"/>
    <mergeCell ref="F15:G15"/>
    <mergeCell ref="I15:J15"/>
    <mergeCell ref="K15:N15"/>
    <mergeCell ref="C16:E16"/>
    <mergeCell ref="F16:G16"/>
    <mergeCell ref="I16:J16"/>
    <mergeCell ref="K16:N16"/>
    <mergeCell ref="C13:E13"/>
    <mergeCell ref="F13:G13"/>
    <mergeCell ref="I13:J13"/>
    <mergeCell ref="K13:N13"/>
    <mergeCell ref="C14:E14"/>
    <mergeCell ref="F14:G14"/>
    <mergeCell ref="I14:J14"/>
    <mergeCell ref="K14:N14"/>
    <mergeCell ref="C11:E11"/>
    <mergeCell ref="F11:G11"/>
    <mergeCell ref="I11:J11"/>
    <mergeCell ref="K11:N11"/>
    <mergeCell ref="C12:E12"/>
    <mergeCell ref="F12:G12"/>
    <mergeCell ref="I12:J12"/>
    <mergeCell ref="K12:N12"/>
    <mergeCell ref="C9:E9"/>
    <mergeCell ref="F9:G9"/>
    <mergeCell ref="I9:J9"/>
    <mergeCell ref="K9:N9"/>
    <mergeCell ref="C10:E10"/>
    <mergeCell ref="F10:G10"/>
    <mergeCell ref="I10:J10"/>
    <mergeCell ref="K10:N10"/>
    <mergeCell ref="C7:E7"/>
    <mergeCell ref="F7:G7"/>
    <mergeCell ref="I7:J7"/>
    <mergeCell ref="K7:N7"/>
    <mergeCell ref="C8:E8"/>
    <mergeCell ref="F8:G8"/>
    <mergeCell ref="I8:J8"/>
    <mergeCell ref="K8:N8"/>
    <mergeCell ref="C5:E5"/>
    <mergeCell ref="F5:G5"/>
    <mergeCell ref="I5:J5"/>
    <mergeCell ref="K5:N5"/>
    <mergeCell ref="C6:E6"/>
    <mergeCell ref="F6:G6"/>
    <mergeCell ref="I6:J6"/>
    <mergeCell ref="K6:N6"/>
    <mergeCell ref="B2:E3"/>
    <mergeCell ref="F2:H3"/>
    <mergeCell ref="J2:K2"/>
    <mergeCell ref="M2:N2"/>
    <mergeCell ref="J3:N3"/>
    <mergeCell ref="B4:D4"/>
    <mergeCell ref="E4:F4"/>
    <mergeCell ref="J4:N4"/>
  </mergeCells>
  <printOptions horizontalCentered="1" verticalCentered="1"/>
  <pageMargins left="0" right="0.23622047244094491" top="0" bottom="0.17" header="0" footer="0.4"/>
  <pageSetup paperSize="9" scale="71" orientation="portrait" r:id="rId1"/>
  <colBreaks count="2" manualBreakCount="2">
    <brk id="1" max="1048575" man="1"/>
    <brk id="10" min="1" max="32" man="1"/>
  </col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B1:N33"/>
  <sheetViews>
    <sheetView rightToLeft="1" showWhiteSpace="0" topLeftCell="A7" zoomScale="70" zoomScaleNormal="70" zoomScalePageLayoutView="40" workbookViewId="0">
      <selection activeCell="G31" sqref="G31:J31"/>
    </sheetView>
  </sheetViews>
  <sheetFormatPr defaultRowHeight="13.8" x14ac:dyDescent="0.25"/>
  <cols>
    <col min="2" max="2" width="5.5" customWidth="1"/>
    <col min="3" max="3" width="4.19921875" customWidth="1"/>
    <col min="4" max="4" width="7.19921875" customWidth="1"/>
    <col min="5" max="5" width="4" customWidth="1"/>
    <col min="6" max="6" width="15.59765625" customWidth="1"/>
    <col min="7" max="7" width="17.09765625" customWidth="1"/>
    <col min="8" max="8" width="19.69921875" customWidth="1"/>
    <col min="9" max="9" width="12.5" bestFit="1" customWidth="1"/>
    <col min="10" max="10" width="4.69921875" customWidth="1"/>
    <col min="11" max="11" width="13.5" customWidth="1"/>
    <col min="12" max="13" width="9.5" customWidth="1"/>
    <col min="14" max="14" width="9" customWidth="1"/>
  </cols>
  <sheetData>
    <row r="1" spans="2:14" ht="14.4" thickBot="1" x14ac:dyDescent="0.3"/>
    <row r="2" spans="2:14" ht="24.6" customHeight="1" thickBot="1" x14ac:dyDescent="0.8">
      <c r="B2" s="81"/>
      <c r="C2" s="81"/>
      <c r="D2" s="81"/>
      <c r="E2" s="81"/>
      <c r="F2" s="82" t="s">
        <v>18</v>
      </c>
      <c r="G2" s="82"/>
      <c r="H2" s="82"/>
      <c r="I2" s="17" t="s">
        <v>0</v>
      </c>
      <c r="J2" s="83"/>
      <c r="K2" s="84"/>
      <c r="L2" s="17" t="s">
        <v>1</v>
      </c>
      <c r="M2" s="83"/>
      <c r="N2" s="84"/>
    </row>
    <row r="3" spans="2:14" ht="34.950000000000003" customHeight="1" thickBot="1" x14ac:dyDescent="0.3">
      <c r="B3" s="81"/>
      <c r="C3" s="81"/>
      <c r="D3" s="81"/>
      <c r="E3" s="81"/>
      <c r="F3" s="82"/>
      <c r="G3" s="82"/>
      <c r="H3" s="82"/>
      <c r="I3" s="9" t="s">
        <v>4</v>
      </c>
      <c r="J3" s="85"/>
      <c r="K3" s="85"/>
      <c r="L3" s="85"/>
      <c r="M3" s="85"/>
      <c r="N3" s="86"/>
    </row>
    <row r="4" spans="2:14" ht="24" thickBot="1" x14ac:dyDescent="0.8">
      <c r="B4" s="87" t="s">
        <v>2</v>
      </c>
      <c r="C4" s="87"/>
      <c r="D4" s="88"/>
      <c r="E4" s="84"/>
      <c r="F4" s="89"/>
      <c r="G4" s="17" t="s">
        <v>3</v>
      </c>
      <c r="H4" s="2"/>
      <c r="I4" s="17" t="s">
        <v>5</v>
      </c>
      <c r="J4" s="83"/>
      <c r="K4" s="83"/>
      <c r="L4" s="83"/>
      <c r="M4" s="83"/>
      <c r="N4" s="84"/>
    </row>
    <row r="5" spans="2:14" s="1" customFormat="1" ht="29.4" customHeight="1" thickBot="1" x14ac:dyDescent="0.3">
      <c r="B5" s="16" t="s">
        <v>6</v>
      </c>
      <c r="C5" s="100" t="s">
        <v>7</v>
      </c>
      <c r="D5" s="100"/>
      <c r="E5" s="100"/>
      <c r="F5" s="100" t="s">
        <v>8</v>
      </c>
      <c r="G5" s="100"/>
      <c r="H5" s="16" t="s">
        <v>9</v>
      </c>
      <c r="I5" s="97" t="s">
        <v>10</v>
      </c>
      <c r="J5" s="99"/>
      <c r="K5" s="97" t="s">
        <v>11</v>
      </c>
      <c r="L5" s="98"/>
      <c r="M5" s="98"/>
      <c r="N5" s="99"/>
    </row>
    <row r="6" spans="2:14" ht="27.6" thickBot="1" x14ac:dyDescent="1.05">
      <c r="B6" s="6">
        <v>1</v>
      </c>
      <c r="C6" s="125">
        <v>44982</v>
      </c>
      <c r="D6" s="125"/>
      <c r="E6" s="125"/>
      <c r="F6" s="93" t="s">
        <v>44</v>
      </c>
      <c r="G6" s="93"/>
      <c r="H6" s="4">
        <v>1500000</v>
      </c>
      <c r="I6" s="94">
        <v>153</v>
      </c>
      <c r="J6" s="95"/>
      <c r="K6" s="94"/>
      <c r="L6" s="96"/>
      <c r="M6" s="96"/>
      <c r="N6" s="95"/>
    </row>
    <row r="7" spans="2:14" ht="27.6" thickBot="1" x14ac:dyDescent="1.05">
      <c r="B7" s="6">
        <v>2</v>
      </c>
      <c r="C7" s="125">
        <v>44984</v>
      </c>
      <c r="D7" s="125"/>
      <c r="E7" s="125"/>
      <c r="F7" s="93" t="s">
        <v>59</v>
      </c>
      <c r="G7" s="93"/>
      <c r="H7" s="4">
        <v>1320000</v>
      </c>
      <c r="I7" s="94">
        <v>154</v>
      </c>
      <c r="J7" s="95"/>
      <c r="K7" s="94"/>
      <c r="L7" s="96"/>
      <c r="M7" s="96"/>
      <c r="N7" s="95"/>
    </row>
    <row r="8" spans="2:14" ht="27.6" thickBot="1" x14ac:dyDescent="1.05">
      <c r="B8" s="6">
        <v>3</v>
      </c>
      <c r="C8" s="125">
        <v>44986</v>
      </c>
      <c r="D8" s="125"/>
      <c r="E8" s="125"/>
      <c r="F8" s="93" t="s">
        <v>59</v>
      </c>
      <c r="G8" s="93"/>
      <c r="H8" s="4">
        <v>3130000</v>
      </c>
      <c r="I8" s="94">
        <v>155</v>
      </c>
      <c r="J8" s="95"/>
      <c r="K8" s="94"/>
      <c r="L8" s="96"/>
      <c r="M8" s="96"/>
      <c r="N8" s="95"/>
    </row>
    <row r="9" spans="2:14" s="1" customFormat="1" ht="27.6" thickBot="1" x14ac:dyDescent="1.05">
      <c r="B9" s="14">
        <v>4</v>
      </c>
      <c r="C9" s="125">
        <v>44986</v>
      </c>
      <c r="D9" s="125"/>
      <c r="E9" s="125"/>
      <c r="F9" s="115" t="s">
        <v>21</v>
      </c>
      <c r="G9" s="115"/>
      <c r="H9" s="15">
        <v>770000</v>
      </c>
      <c r="I9" s="94">
        <v>156</v>
      </c>
      <c r="J9" s="95"/>
      <c r="K9" s="97"/>
      <c r="L9" s="98"/>
      <c r="M9" s="98"/>
      <c r="N9" s="99"/>
    </row>
    <row r="10" spans="2:14" ht="27.6" thickBot="1" x14ac:dyDescent="1.05">
      <c r="B10" s="6">
        <v>5</v>
      </c>
      <c r="C10" s="125">
        <v>44986</v>
      </c>
      <c r="D10" s="125"/>
      <c r="E10" s="125"/>
      <c r="F10" s="93" t="s">
        <v>44</v>
      </c>
      <c r="G10" s="93"/>
      <c r="H10" s="4">
        <v>2000000</v>
      </c>
      <c r="I10" s="94">
        <v>157</v>
      </c>
      <c r="J10" s="95"/>
      <c r="K10" s="94"/>
      <c r="L10" s="96"/>
      <c r="M10" s="96"/>
      <c r="N10" s="95"/>
    </row>
    <row r="11" spans="2:14" ht="27.6" thickBot="1" x14ac:dyDescent="1.05">
      <c r="B11" s="6">
        <v>6</v>
      </c>
      <c r="C11" s="125">
        <v>44986</v>
      </c>
      <c r="D11" s="125"/>
      <c r="E11" s="125"/>
      <c r="F11" s="93" t="s">
        <v>62</v>
      </c>
      <c r="G11" s="93"/>
      <c r="H11" s="4">
        <v>32000000</v>
      </c>
      <c r="I11" s="94">
        <v>158</v>
      </c>
      <c r="J11" s="95"/>
      <c r="K11" s="94"/>
      <c r="L11" s="96"/>
      <c r="M11" s="96"/>
      <c r="N11" s="95"/>
    </row>
    <row r="12" spans="2:14" ht="27.6" thickBot="1" x14ac:dyDescent="1.05">
      <c r="B12" s="6">
        <v>7</v>
      </c>
      <c r="C12" s="125">
        <v>44986</v>
      </c>
      <c r="D12" s="125"/>
      <c r="E12" s="125"/>
      <c r="F12" s="93" t="s">
        <v>63</v>
      </c>
      <c r="G12" s="93"/>
      <c r="H12" s="4">
        <v>1500000</v>
      </c>
      <c r="I12" s="94">
        <v>159</v>
      </c>
      <c r="J12" s="95"/>
      <c r="K12" s="94"/>
      <c r="L12" s="96"/>
      <c r="M12" s="96"/>
      <c r="N12" s="95"/>
    </row>
    <row r="13" spans="2:14" ht="27.6" thickBot="1" x14ac:dyDescent="1.05">
      <c r="B13" s="6">
        <v>8</v>
      </c>
      <c r="C13" s="125">
        <v>44986</v>
      </c>
      <c r="D13" s="125"/>
      <c r="E13" s="125"/>
      <c r="F13" s="93" t="s">
        <v>64</v>
      </c>
      <c r="G13" s="93"/>
      <c r="H13" s="4">
        <v>3000000</v>
      </c>
      <c r="I13" s="94">
        <v>160</v>
      </c>
      <c r="J13" s="95"/>
      <c r="K13" s="94"/>
      <c r="L13" s="96"/>
      <c r="M13" s="96"/>
      <c r="N13" s="95"/>
    </row>
    <row r="14" spans="2:14" ht="27.6" thickBot="1" x14ac:dyDescent="1.05">
      <c r="B14" s="6">
        <v>9</v>
      </c>
      <c r="C14" s="125">
        <v>44986</v>
      </c>
      <c r="D14" s="125"/>
      <c r="E14" s="125"/>
      <c r="F14" s="93" t="s">
        <v>65</v>
      </c>
      <c r="G14" s="93"/>
      <c r="H14" s="4">
        <v>8000000</v>
      </c>
      <c r="I14" s="94">
        <v>161</v>
      </c>
      <c r="J14" s="95"/>
      <c r="K14" s="94"/>
      <c r="L14" s="96"/>
      <c r="M14" s="96"/>
      <c r="N14" s="95"/>
    </row>
    <row r="15" spans="2:14" ht="27.6" thickBot="1" x14ac:dyDescent="1.05">
      <c r="B15" s="6">
        <v>10</v>
      </c>
      <c r="C15" s="125">
        <v>44987</v>
      </c>
      <c r="D15" s="125"/>
      <c r="E15" s="125"/>
      <c r="F15" s="93" t="s">
        <v>66</v>
      </c>
      <c r="G15" s="93"/>
      <c r="H15" s="4">
        <v>1150000</v>
      </c>
      <c r="I15" s="94">
        <v>162</v>
      </c>
      <c r="J15" s="95"/>
      <c r="K15" s="94"/>
      <c r="L15" s="96"/>
      <c r="M15" s="96"/>
      <c r="N15" s="95"/>
    </row>
    <row r="16" spans="2:14" ht="27.6" thickBot="1" x14ac:dyDescent="1.05">
      <c r="B16" s="6">
        <v>11</v>
      </c>
      <c r="C16" s="125">
        <v>44987</v>
      </c>
      <c r="D16" s="125"/>
      <c r="E16" s="125"/>
      <c r="F16" s="93" t="s">
        <v>67</v>
      </c>
      <c r="G16" s="93"/>
      <c r="H16" s="4">
        <v>3740000</v>
      </c>
      <c r="I16" s="94">
        <v>163</v>
      </c>
      <c r="J16" s="95"/>
      <c r="K16" s="94"/>
      <c r="L16" s="96"/>
      <c r="M16" s="96"/>
      <c r="N16" s="95"/>
    </row>
    <row r="17" spans="2:14" ht="27.6" thickBot="1" x14ac:dyDescent="1.05">
      <c r="B17" s="6">
        <v>12</v>
      </c>
      <c r="C17" s="125">
        <v>44987</v>
      </c>
      <c r="D17" s="125"/>
      <c r="E17" s="125"/>
      <c r="F17" s="93" t="s">
        <v>68</v>
      </c>
      <c r="G17" s="93"/>
      <c r="H17" s="4">
        <v>1250000</v>
      </c>
      <c r="I17" s="94">
        <v>164</v>
      </c>
      <c r="J17" s="95"/>
      <c r="K17" s="94"/>
      <c r="L17" s="96"/>
      <c r="M17" s="96"/>
      <c r="N17" s="95"/>
    </row>
    <row r="18" spans="2:14" ht="27.6" thickBot="1" x14ac:dyDescent="1.05">
      <c r="B18" s="6">
        <v>13</v>
      </c>
      <c r="C18" s="125">
        <v>44987</v>
      </c>
      <c r="D18" s="125"/>
      <c r="E18" s="125"/>
      <c r="F18" s="93" t="s">
        <v>21</v>
      </c>
      <c r="G18" s="93"/>
      <c r="H18" s="4">
        <v>1000000</v>
      </c>
      <c r="I18" s="94">
        <v>165</v>
      </c>
      <c r="J18" s="95"/>
      <c r="K18" s="94"/>
      <c r="L18" s="96"/>
      <c r="M18" s="96"/>
      <c r="N18" s="95"/>
    </row>
    <row r="19" spans="2:14" ht="27.6" thickBot="1" x14ac:dyDescent="1.05">
      <c r="B19" s="6">
        <v>14</v>
      </c>
      <c r="C19" s="125">
        <v>44987</v>
      </c>
      <c r="D19" s="125"/>
      <c r="E19" s="125"/>
      <c r="F19" s="93" t="s">
        <v>69</v>
      </c>
      <c r="G19" s="93"/>
      <c r="H19" s="4">
        <v>1750000</v>
      </c>
      <c r="I19" s="94">
        <v>166</v>
      </c>
      <c r="J19" s="95"/>
      <c r="K19" s="94"/>
      <c r="L19" s="96"/>
      <c r="M19" s="96"/>
      <c r="N19" s="95"/>
    </row>
    <row r="20" spans="2:14" ht="27.6" thickBot="1" x14ac:dyDescent="1.05">
      <c r="B20" s="6">
        <v>15</v>
      </c>
      <c r="C20" s="125">
        <v>44987</v>
      </c>
      <c r="D20" s="125"/>
      <c r="E20" s="125"/>
      <c r="F20" s="93" t="s">
        <v>59</v>
      </c>
      <c r="G20" s="93"/>
      <c r="H20" s="4">
        <v>2760000</v>
      </c>
      <c r="I20" s="94">
        <v>167</v>
      </c>
      <c r="J20" s="95"/>
      <c r="K20" s="94"/>
      <c r="L20" s="96"/>
      <c r="M20" s="96"/>
      <c r="N20" s="95"/>
    </row>
    <row r="21" spans="2:14" ht="27.6" thickBot="1" x14ac:dyDescent="1.05">
      <c r="B21" s="6">
        <v>16</v>
      </c>
      <c r="C21" s="125">
        <v>44987</v>
      </c>
      <c r="D21" s="125"/>
      <c r="E21" s="125"/>
      <c r="F21" s="93" t="s">
        <v>70</v>
      </c>
      <c r="G21" s="93"/>
      <c r="H21" s="4">
        <v>4100000</v>
      </c>
      <c r="I21" s="94">
        <v>168</v>
      </c>
      <c r="J21" s="95"/>
      <c r="K21" s="94"/>
      <c r="L21" s="96"/>
      <c r="M21" s="96"/>
      <c r="N21" s="95"/>
    </row>
    <row r="22" spans="2:14" ht="27.6" thickBot="1" x14ac:dyDescent="1.05">
      <c r="B22" s="6">
        <v>17</v>
      </c>
      <c r="C22" s="125">
        <v>44987</v>
      </c>
      <c r="D22" s="125"/>
      <c r="E22" s="125"/>
      <c r="F22" s="93" t="s">
        <v>71</v>
      </c>
      <c r="G22" s="93"/>
      <c r="H22" s="4">
        <v>1500000</v>
      </c>
      <c r="I22" s="94">
        <v>169</v>
      </c>
      <c r="J22" s="95"/>
      <c r="K22" s="94"/>
      <c r="L22" s="96"/>
      <c r="M22" s="96"/>
      <c r="N22" s="95"/>
    </row>
    <row r="23" spans="2:14" ht="27.6" thickBot="1" x14ac:dyDescent="1.05">
      <c r="B23" s="6">
        <v>18</v>
      </c>
      <c r="C23" s="125">
        <v>44987</v>
      </c>
      <c r="D23" s="125"/>
      <c r="E23" s="125"/>
      <c r="F23" s="93" t="s">
        <v>72</v>
      </c>
      <c r="G23" s="93"/>
      <c r="H23" s="4">
        <v>14000000</v>
      </c>
      <c r="I23" s="94">
        <v>170</v>
      </c>
      <c r="J23" s="95"/>
      <c r="K23" s="94"/>
      <c r="L23" s="96"/>
      <c r="M23" s="96"/>
      <c r="N23" s="95"/>
    </row>
    <row r="24" spans="2:14" ht="27.6" thickBot="1" x14ac:dyDescent="1.05">
      <c r="B24" s="6">
        <v>19</v>
      </c>
      <c r="C24" s="125">
        <v>44987</v>
      </c>
      <c r="D24" s="125"/>
      <c r="E24" s="125"/>
      <c r="F24" s="93" t="s">
        <v>73</v>
      </c>
      <c r="G24" s="93"/>
      <c r="H24" s="4">
        <v>7000000</v>
      </c>
      <c r="I24" s="94">
        <v>171</v>
      </c>
      <c r="J24" s="95"/>
      <c r="K24" s="94"/>
      <c r="L24" s="96"/>
      <c r="M24" s="96"/>
      <c r="N24" s="95"/>
    </row>
    <row r="25" spans="2:14" ht="27.6" thickBot="1" x14ac:dyDescent="1.05">
      <c r="B25" s="6">
        <v>20</v>
      </c>
      <c r="C25" s="125">
        <v>44987</v>
      </c>
      <c r="D25" s="125"/>
      <c r="E25" s="125"/>
      <c r="F25" s="93" t="s">
        <v>74</v>
      </c>
      <c r="G25" s="93"/>
      <c r="H25" s="4">
        <v>2000000</v>
      </c>
      <c r="I25" s="94">
        <v>172</v>
      </c>
      <c r="J25" s="95"/>
      <c r="K25" s="94"/>
      <c r="L25" s="96"/>
      <c r="M25" s="96"/>
      <c r="N25" s="95"/>
    </row>
    <row r="26" spans="2:14" ht="27.6" thickBot="1" x14ac:dyDescent="1.05">
      <c r="B26" s="6">
        <v>21</v>
      </c>
      <c r="C26" s="125">
        <v>44987</v>
      </c>
      <c r="D26" s="125"/>
      <c r="E26" s="125"/>
      <c r="F26" s="93" t="s">
        <v>43</v>
      </c>
      <c r="G26" s="93"/>
      <c r="H26" s="4">
        <v>2000000</v>
      </c>
      <c r="I26" s="94">
        <v>173</v>
      </c>
      <c r="J26" s="95"/>
      <c r="K26" s="94"/>
      <c r="L26" s="96"/>
      <c r="M26" s="96"/>
      <c r="N26" s="95"/>
    </row>
    <row r="27" spans="2:14" ht="27.6" thickBot="1" x14ac:dyDescent="1.05">
      <c r="B27" s="6">
        <v>22</v>
      </c>
      <c r="C27" s="90">
        <v>44985</v>
      </c>
      <c r="D27" s="91"/>
      <c r="E27" s="92"/>
      <c r="F27" s="93" t="s">
        <v>59</v>
      </c>
      <c r="G27" s="93"/>
      <c r="H27" s="4">
        <v>930000</v>
      </c>
      <c r="I27" s="94">
        <v>174</v>
      </c>
      <c r="J27" s="95"/>
      <c r="K27" s="94"/>
      <c r="L27" s="96"/>
      <c r="M27" s="96"/>
      <c r="N27" s="95"/>
    </row>
    <row r="28" spans="2:14" ht="27.6" thickBot="1" x14ac:dyDescent="1.05">
      <c r="B28" s="6">
        <v>23</v>
      </c>
      <c r="C28" s="90">
        <v>44985</v>
      </c>
      <c r="D28" s="91"/>
      <c r="E28" s="92"/>
      <c r="F28" s="93" t="s">
        <v>75</v>
      </c>
      <c r="G28" s="93"/>
      <c r="H28" s="4">
        <v>50000000</v>
      </c>
      <c r="I28" s="94">
        <v>175</v>
      </c>
      <c r="J28" s="95"/>
      <c r="K28" s="94"/>
      <c r="L28" s="96"/>
      <c r="M28" s="96"/>
      <c r="N28" s="95"/>
    </row>
    <row r="29" spans="2:14" ht="27.6" thickBot="1" x14ac:dyDescent="1.05">
      <c r="B29" s="6">
        <v>24</v>
      </c>
      <c r="C29" s="90">
        <v>44986</v>
      </c>
      <c r="D29" s="91"/>
      <c r="E29" s="92"/>
      <c r="F29" s="93" t="s">
        <v>76</v>
      </c>
      <c r="G29" s="93"/>
      <c r="H29" s="4">
        <v>20000000</v>
      </c>
      <c r="I29" s="94">
        <v>176</v>
      </c>
      <c r="J29" s="95"/>
      <c r="K29" s="94"/>
      <c r="L29" s="96"/>
      <c r="M29" s="96"/>
      <c r="N29" s="95"/>
    </row>
    <row r="30" spans="2:14" ht="27.6" thickBot="1" x14ac:dyDescent="1.05">
      <c r="B30" s="6">
        <v>25</v>
      </c>
      <c r="C30" s="90">
        <v>44989</v>
      </c>
      <c r="D30" s="91"/>
      <c r="E30" s="92"/>
      <c r="F30" s="94" t="s">
        <v>77</v>
      </c>
      <c r="G30" s="95"/>
      <c r="H30" s="5">
        <v>40920000</v>
      </c>
      <c r="I30" s="94">
        <v>177</v>
      </c>
      <c r="J30" s="95"/>
      <c r="K30" s="19"/>
      <c r="L30" s="21"/>
      <c r="M30" s="21"/>
      <c r="N30" s="20"/>
    </row>
    <row r="31" spans="2:14" s="1" customFormat="1" ht="29.4" customHeight="1" thickTop="1" thickBot="1" x14ac:dyDescent="0.3">
      <c r="B31" s="102" t="s">
        <v>12</v>
      </c>
      <c r="C31" s="102"/>
      <c r="D31" s="102"/>
      <c r="E31" s="102"/>
      <c r="F31" s="102"/>
      <c r="G31" s="103">
        <f>SUM(H6:H30)</f>
        <v>207320000</v>
      </c>
      <c r="H31" s="104"/>
      <c r="I31" s="104"/>
      <c r="J31" s="105"/>
      <c r="K31" s="106"/>
      <c r="L31" s="107"/>
      <c r="M31" s="107"/>
      <c r="N31" s="108"/>
    </row>
    <row r="32" spans="2:14" s="1" customFormat="1" ht="29.4" customHeight="1" thickBot="1" x14ac:dyDescent="0.3">
      <c r="B32" s="100" t="s">
        <v>13</v>
      </c>
      <c r="C32" s="100"/>
      <c r="D32" s="100"/>
      <c r="E32" s="100"/>
      <c r="F32" s="100"/>
      <c r="G32" s="109"/>
      <c r="H32" s="110"/>
      <c r="I32" s="110"/>
      <c r="J32" s="111"/>
      <c r="K32" s="97"/>
      <c r="L32" s="98"/>
      <c r="M32" s="98"/>
      <c r="N32" s="99"/>
    </row>
    <row r="33" spans="2:14" ht="82.2" customHeight="1" thickBot="1" x14ac:dyDescent="0.3">
      <c r="B33" s="101" t="s">
        <v>14</v>
      </c>
      <c r="C33" s="101"/>
      <c r="D33" s="101"/>
      <c r="E33" s="101"/>
      <c r="F33" s="101" t="s">
        <v>15</v>
      </c>
      <c r="G33" s="101"/>
      <c r="H33" s="101" t="s">
        <v>16</v>
      </c>
      <c r="I33" s="101"/>
      <c r="J33" s="101" t="s">
        <v>17</v>
      </c>
      <c r="K33" s="101"/>
      <c r="L33" s="101"/>
      <c r="M33" s="101"/>
      <c r="N33" s="101"/>
    </row>
  </sheetData>
  <mergeCells count="121">
    <mergeCell ref="C5:E5"/>
    <mergeCell ref="F5:G5"/>
    <mergeCell ref="I5:J5"/>
    <mergeCell ref="K5:N5"/>
    <mergeCell ref="C6:E6"/>
    <mergeCell ref="F6:G6"/>
    <mergeCell ref="I6:J6"/>
    <mergeCell ref="K6:N6"/>
    <mergeCell ref="B2:E3"/>
    <mergeCell ref="F2:H3"/>
    <mergeCell ref="J2:K2"/>
    <mergeCell ref="M2:N2"/>
    <mergeCell ref="J3:N3"/>
    <mergeCell ref="B4:D4"/>
    <mergeCell ref="E4:F4"/>
    <mergeCell ref="J4:N4"/>
    <mergeCell ref="C9:E9"/>
    <mergeCell ref="F9:G9"/>
    <mergeCell ref="I9:J9"/>
    <mergeCell ref="K9:N9"/>
    <mergeCell ref="C10:E10"/>
    <mergeCell ref="F10:G10"/>
    <mergeCell ref="I10:J10"/>
    <mergeCell ref="K10:N10"/>
    <mergeCell ref="C7:E7"/>
    <mergeCell ref="F7:G7"/>
    <mergeCell ref="I7:J7"/>
    <mergeCell ref="K7:N7"/>
    <mergeCell ref="C8:E8"/>
    <mergeCell ref="F8:G8"/>
    <mergeCell ref="I8:J8"/>
    <mergeCell ref="K8:N8"/>
    <mergeCell ref="C13:E13"/>
    <mergeCell ref="F13:G13"/>
    <mergeCell ref="I13:J13"/>
    <mergeCell ref="K13:N13"/>
    <mergeCell ref="C14:E14"/>
    <mergeCell ref="F14:G14"/>
    <mergeCell ref="I14:J14"/>
    <mergeCell ref="K14:N14"/>
    <mergeCell ref="C11:E11"/>
    <mergeCell ref="F11:G11"/>
    <mergeCell ref="I11:J11"/>
    <mergeCell ref="K11:N11"/>
    <mergeCell ref="C12:E12"/>
    <mergeCell ref="F12:G12"/>
    <mergeCell ref="I12:J12"/>
    <mergeCell ref="K12:N12"/>
    <mergeCell ref="C17:E17"/>
    <mergeCell ref="F17:G17"/>
    <mergeCell ref="I17:J17"/>
    <mergeCell ref="K17:N17"/>
    <mergeCell ref="C18:E18"/>
    <mergeCell ref="F18:G18"/>
    <mergeCell ref="I18:J18"/>
    <mergeCell ref="K18:N18"/>
    <mergeCell ref="C15:E15"/>
    <mergeCell ref="F15:G15"/>
    <mergeCell ref="I15:J15"/>
    <mergeCell ref="K15:N15"/>
    <mergeCell ref="C16:E16"/>
    <mergeCell ref="F16:G16"/>
    <mergeCell ref="I16:J16"/>
    <mergeCell ref="K16:N16"/>
    <mergeCell ref="C21:E21"/>
    <mergeCell ref="F21:G21"/>
    <mergeCell ref="I21:J21"/>
    <mergeCell ref="K21:N21"/>
    <mergeCell ref="C22:E22"/>
    <mergeCell ref="F22:G22"/>
    <mergeCell ref="I22:J22"/>
    <mergeCell ref="K22:N22"/>
    <mergeCell ref="C19:E19"/>
    <mergeCell ref="F19:G19"/>
    <mergeCell ref="I19:J19"/>
    <mergeCell ref="K19:N19"/>
    <mergeCell ref="C20:E20"/>
    <mergeCell ref="F20:G20"/>
    <mergeCell ref="I20:J20"/>
    <mergeCell ref="K20:N20"/>
    <mergeCell ref="C25:E25"/>
    <mergeCell ref="F25:G25"/>
    <mergeCell ref="I25:J25"/>
    <mergeCell ref="K25:N25"/>
    <mergeCell ref="C26:E26"/>
    <mergeCell ref="F26:G26"/>
    <mergeCell ref="I26:J26"/>
    <mergeCell ref="K26:N26"/>
    <mergeCell ref="C23:E23"/>
    <mergeCell ref="F23:G23"/>
    <mergeCell ref="I23:J23"/>
    <mergeCell ref="K23:N23"/>
    <mergeCell ref="C24:E24"/>
    <mergeCell ref="F24:G24"/>
    <mergeCell ref="I24:J24"/>
    <mergeCell ref="K24:N24"/>
    <mergeCell ref="C29:E29"/>
    <mergeCell ref="F29:G29"/>
    <mergeCell ref="I29:J29"/>
    <mergeCell ref="K29:N29"/>
    <mergeCell ref="C27:E27"/>
    <mergeCell ref="F27:G27"/>
    <mergeCell ref="I27:J27"/>
    <mergeCell ref="K27:N27"/>
    <mergeCell ref="C28:E28"/>
    <mergeCell ref="F28:G28"/>
    <mergeCell ref="I28:J28"/>
    <mergeCell ref="K28:N28"/>
    <mergeCell ref="F30:G30"/>
    <mergeCell ref="C30:E30"/>
    <mergeCell ref="I30:J30"/>
    <mergeCell ref="B33:E33"/>
    <mergeCell ref="F33:G33"/>
    <mergeCell ref="H33:I33"/>
    <mergeCell ref="J33:N33"/>
    <mergeCell ref="B31:F31"/>
    <mergeCell ref="G31:J31"/>
    <mergeCell ref="K31:N31"/>
    <mergeCell ref="B32:F32"/>
    <mergeCell ref="G32:J32"/>
    <mergeCell ref="K32:N32"/>
  </mergeCells>
  <printOptions horizontalCentered="1" verticalCentered="1"/>
  <pageMargins left="0" right="0.23622047244094491" top="0" bottom="0.51181102362204722" header="0" footer="0"/>
  <pageSetup paperSize="9" fitToWidth="0" orientation="portrait" r:id="rId1"/>
  <colBreaks count="1" manualBreakCount="1">
    <brk id="1" max="1048575" man="1"/>
  </col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B1:N33"/>
  <sheetViews>
    <sheetView rightToLeft="1" showWhiteSpace="0" topLeftCell="A7" zoomScale="70" zoomScaleNormal="70" zoomScalePageLayoutView="40" workbookViewId="0">
      <selection activeCell="G32" sqref="G32:J32"/>
    </sheetView>
  </sheetViews>
  <sheetFormatPr defaultRowHeight="13.8" x14ac:dyDescent="0.25"/>
  <cols>
    <col min="2" max="2" width="5.5" customWidth="1"/>
    <col min="3" max="3" width="4.19921875" customWidth="1"/>
    <col min="4" max="4" width="7.19921875" customWidth="1"/>
    <col min="5" max="5" width="4" customWidth="1"/>
    <col min="6" max="6" width="15.59765625" customWidth="1"/>
    <col min="7" max="7" width="17.09765625" customWidth="1"/>
    <col min="8" max="8" width="19.69921875" customWidth="1"/>
    <col min="9" max="9" width="12.5" bestFit="1" customWidth="1"/>
    <col min="10" max="10" width="4.69921875" customWidth="1"/>
    <col min="11" max="11" width="13.5" customWidth="1"/>
    <col min="12" max="13" width="9.5" customWidth="1"/>
    <col min="14" max="14" width="9" customWidth="1"/>
  </cols>
  <sheetData>
    <row r="1" spans="2:14" ht="14.4" thickBot="1" x14ac:dyDescent="0.3"/>
    <row r="2" spans="2:14" ht="24.6" customHeight="1" thickBot="1" x14ac:dyDescent="0.8">
      <c r="B2" s="81"/>
      <c r="C2" s="81"/>
      <c r="D2" s="81"/>
      <c r="E2" s="81"/>
      <c r="F2" s="82" t="s">
        <v>18</v>
      </c>
      <c r="G2" s="82"/>
      <c r="H2" s="82"/>
      <c r="I2" s="12" t="s">
        <v>0</v>
      </c>
      <c r="J2" s="83"/>
      <c r="K2" s="84"/>
      <c r="L2" s="12" t="s">
        <v>1</v>
      </c>
      <c r="M2" s="83"/>
      <c r="N2" s="84"/>
    </row>
    <row r="3" spans="2:14" ht="34.950000000000003" customHeight="1" thickBot="1" x14ac:dyDescent="0.3">
      <c r="B3" s="81"/>
      <c r="C3" s="81"/>
      <c r="D3" s="81"/>
      <c r="E3" s="81"/>
      <c r="F3" s="82"/>
      <c r="G3" s="82"/>
      <c r="H3" s="82"/>
      <c r="I3" s="9" t="s">
        <v>4</v>
      </c>
      <c r="J3" s="85"/>
      <c r="K3" s="85"/>
      <c r="L3" s="85"/>
      <c r="M3" s="85"/>
      <c r="N3" s="86"/>
    </row>
    <row r="4" spans="2:14" ht="24" thickBot="1" x14ac:dyDescent="0.8">
      <c r="B4" s="87" t="s">
        <v>2</v>
      </c>
      <c r="C4" s="87"/>
      <c r="D4" s="88"/>
      <c r="E4" s="84"/>
      <c r="F4" s="89"/>
      <c r="G4" s="12" t="s">
        <v>3</v>
      </c>
      <c r="H4" s="2"/>
      <c r="I4" s="12" t="s">
        <v>5</v>
      </c>
      <c r="J4" s="83"/>
      <c r="K4" s="83"/>
      <c r="L4" s="83"/>
      <c r="M4" s="83"/>
      <c r="N4" s="84"/>
    </row>
    <row r="5" spans="2:14" s="1" customFormat="1" ht="29.4" customHeight="1" thickBot="1" x14ac:dyDescent="0.3">
      <c r="B5" s="13" t="s">
        <v>6</v>
      </c>
      <c r="C5" s="100" t="s">
        <v>7</v>
      </c>
      <c r="D5" s="100"/>
      <c r="E5" s="100"/>
      <c r="F5" s="100" t="s">
        <v>8</v>
      </c>
      <c r="G5" s="100"/>
      <c r="H5" s="13" t="s">
        <v>9</v>
      </c>
      <c r="I5" s="97" t="s">
        <v>10</v>
      </c>
      <c r="J5" s="99"/>
      <c r="K5" s="97" t="s">
        <v>11</v>
      </c>
      <c r="L5" s="98"/>
      <c r="M5" s="98"/>
      <c r="N5" s="99"/>
    </row>
    <row r="6" spans="2:14" ht="27.6" thickBot="1" x14ac:dyDescent="1.05">
      <c r="B6" s="6">
        <v>1</v>
      </c>
      <c r="C6" s="125">
        <v>44978</v>
      </c>
      <c r="D6" s="125"/>
      <c r="E6" s="125"/>
      <c r="F6" s="93" t="s">
        <v>43</v>
      </c>
      <c r="G6" s="93"/>
      <c r="H6" s="4">
        <v>2000000</v>
      </c>
      <c r="I6" s="94">
        <v>128</v>
      </c>
      <c r="J6" s="95"/>
      <c r="K6" s="94"/>
      <c r="L6" s="96"/>
      <c r="M6" s="96"/>
      <c r="N6" s="95"/>
    </row>
    <row r="7" spans="2:14" ht="27.6" thickBot="1" x14ac:dyDescent="1.05">
      <c r="B7" s="6">
        <v>2</v>
      </c>
      <c r="C7" s="125">
        <v>44978</v>
      </c>
      <c r="D7" s="125"/>
      <c r="E7" s="125"/>
      <c r="F7" s="93" t="s">
        <v>44</v>
      </c>
      <c r="G7" s="93"/>
      <c r="H7" s="4">
        <v>1000000</v>
      </c>
      <c r="I7" s="94">
        <v>129</v>
      </c>
      <c r="J7" s="95"/>
      <c r="K7" s="94"/>
      <c r="L7" s="96"/>
      <c r="M7" s="96"/>
      <c r="N7" s="95"/>
    </row>
    <row r="8" spans="2:14" ht="27.6" thickBot="1" x14ac:dyDescent="1.05">
      <c r="B8" s="6">
        <v>3</v>
      </c>
      <c r="C8" s="125">
        <v>44978</v>
      </c>
      <c r="D8" s="125"/>
      <c r="E8" s="125"/>
      <c r="F8" s="93" t="s">
        <v>45</v>
      </c>
      <c r="G8" s="93"/>
      <c r="H8" s="4">
        <v>3000000</v>
      </c>
      <c r="I8" s="94">
        <v>130</v>
      </c>
      <c r="J8" s="95"/>
      <c r="K8" s="94"/>
      <c r="L8" s="96"/>
      <c r="M8" s="96"/>
      <c r="N8" s="95"/>
    </row>
    <row r="9" spans="2:14" s="1" customFormat="1" ht="39" customHeight="1" thickBot="1" x14ac:dyDescent="0.3">
      <c r="B9" s="14">
        <v>4</v>
      </c>
      <c r="C9" s="126">
        <v>44980</v>
      </c>
      <c r="D9" s="126"/>
      <c r="E9" s="126"/>
      <c r="F9" s="115" t="s">
        <v>46</v>
      </c>
      <c r="G9" s="115"/>
      <c r="H9" s="15">
        <v>20000000</v>
      </c>
      <c r="I9" s="97">
        <v>131</v>
      </c>
      <c r="J9" s="99"/>
      <c r="K9" s="97"/>
      <c r="L9" s="98"/>
      <c r="M9" s="98"/>
      <c r="N9" s="99"/>
    </row>
    <row r="10" spans="2:14" ht="27.6" thickBot="1" x14ac:dyDescent="1.05">
      <c r="B10" s="6">
        <v>5</v>
      </c>
      <c r="C10" s="126">
        <v>44979</v>
      </c>
      <c r="D10" s="126"/>
      <c r="E10" s="126"/>
      <c r="F10" s="93" t="s">
        <v>41</v>
      </c>
      <c r="G10" s="93"/>
      <c r="H10" s="4">
        <v>1510000</v>
      </c>
      <c r="I10" s="94">
        <v>132</v>
      </c>
      <c r="J10" s="95"/>
      <c r="K10" s="94"/>
      <c r="L10" s="96"/>
      <c r="M10" s="96"/>
      <c r="N10" s="95"/>
    </row>
    <row r="11" spans="2:14" ht="27.6" thickBot="1" x14ac:dyDescent="1.05">
      <c r="B11" s="6">
        <v>6</v>
      </c>
      <c r="C11" s="126">
        <v>44982</v>
      </c>
      <c r="D11" s="126"/>
      <c r="E11" s="126"/>
      <c r="F11" s="93" t="s">
        <v>47</v>
      </c>
      <c r="G11" s="93"/>
      <c r="H11" s="4">
        <v>270000</v>
      </c>
      <c r="I11" s="94">
        <v>133</v>
      </c>
      <c r="J11" s="95"/>
      <c r="K11" s="94"/>
      <c r="L11" s="96"/>
      <c r="M11" s="96"/>
      <c r="N11" s="95"/>
    </row>
    <row r="12" spans="2:14" ht="27.6" thickBot="1" x14ac:dyDescent="1.05">
      <c r="B12" s="6">
        <v>7</v>
      </c>
      <c r="C12" s="126">
        <v>44982</v>
      </c>
      <c r="D12" s="126"/>
      <c r="E12" s="126"/>
      <c r="F12" s="93" t="s">
        <v>48</v>
      </c>
      <c r="G12" s="93"/>
      <c r="H12" s="4">
        <v>5648000</v>
      </c>
      <c r="I12" s="94">
        <v>134</v>
      </c>
      <c r="J12" s="95"/>
      <c r="K12" s="94"/>
      <c r="L12" s="96"/>
      <c r="M12" s="96"/>
      <c r="N12" s="95"/>
    </row>
    <row r="13" spans="2:14" ht="27.6" thickBot="1" x14ac:dyDescent="1.05">
      <c r="B13" s="6">
        <v>8</v>
      </c>
      <c r="C13" s="125">
        <v>44975</v>
      </c>
      <c r="D13" s="125"/>
      <c r="E13" s="125"/>
      <c r="F13" s="93" t="s">
        <v>49</v>
      </c>
      <c r="G13" s="93"/>
      <c r="H13" s="4">
        <v>16940</v>
      </c>
      <c r="I13" s="94">
        <v>135</v>
      </c>
      <c r="J13" s="95"/>
      <c r="K13" s="94"/>
      <c r="L13" s="96"/>
      <c r="M13" s="96"/>
      <c r="N13" s="95"/>
    </row>
    <row r="14" spans="2:14" ht="27.6" thickBot="1" x14ac:dyDescent="1.05">
      <c r="B14" s="6">
        <v>9</v>
      </c>
      <c r="C14" s="125">
        <v>44975</v>
      </c>
      <c r="D14" s="125"/>
      <c r="E14" s="125"/>
      <c r="F14" s="93" t="s">
        <v>49</v>
      </c>
      <c r="G14" s="93"/>
      <c r="H14" s="4">
        <v>232050</v>
      </c>
      <c r="I14" s="94">
        <v>136</v>
      </c>
      <c r="J14" s="95"/>
      <c r="K14" s="94"/>
      <c r="L14" s="96"/>
      <c r="M14" s="96"/>
      <c r="N14" s="95"/>
    </row>
    <row r="15" spans="2:14" ht="27.6" thickBot="1" x14ac:dyDescent="1.05">
      <c r="B15" s="6">
        <v>10</v>
      </c>
      <c r="C15" s="126">
        <v>44977</v>
      </c>
      <c r="D15" s="126"/>
      <c r="E15" s="126"/>
      <c r="F15" s="93" t="s">
        <v>41</v>
      </c>
      <c r="G15" s="93"/>
      <c r="H15" s="4">
        <v>902100</v>
      </c>
      <c r="I15" s="94">
        <v>137</v>
      </c>
      <c r="J15" s="95"/>
      <c r="K15" s="94"/>
      <c r="L15" s="96"/>
      <c r="M15" s="96"/>
      <c r="N15" s="95"/>
    </row>
    <row r="16" spans="2:14" ht="27.6" thickBot="1" x14ac:dyDescent="1.05">
      <c r="B16" s="6">
        <v>11</v>
      </c>
      <c r="C16" s="90">
        <v>44978</v>
      </c>
      <c r="D16" s="91"/>
      <c r="E16" s="92"/>
      <c r="F16" s="93" t="s">
        <v>50</v>
      </c>
      <c r="G16" s="93"/>
      <c r="H16" s="4">
        <v>700000</v>
      </c>
      <c r="I16" s="94">
        <v>138</v>
      </c>
      <c r="J16" s="95"/>
      <c r="K16" s="94"/>
      <c r="L16" s="96"/>
      <c r="M16" s="96"/>
      <c r="N16" s="95"/>
    </row>
    <row r="17" spans="2:14" ht="27.6" thickBot="1" x14ac:dyDescent="1.05">
      <c r="B17" s="6">
        <v>12</v>
      </c>
      <c r="C17" s="90">
        <v>44978</v>
      </c>
      <c r="D17" s="91"/>
      <c r="E17" s="92"/>
      <c r="F17" s="93" t="s">
        <v>21</v>
      </c>
      <c r="G17" s="93"/>
      <c r="H17" s="4">
        <v>750000</v>
      </c>
      <c r="I17" s="94">
        <v>139</v>
      </c>
      <c r="J17" s="95"/>
      <c r="K17" s="94"/>
      <c r="L17" s="96"/>
      <c r="M17" s="96"/>
      <c r="N17" s="95"/>
    </row>
    <row r="18" spans="2:14" ht="27.6" thickBot="1" x14ac:dyDescent="1.05">
      <c r="B18" s="6">
        <v>13</v>
      </c>
      <c r="C18" s="90">
        <v>44979</v>
      </c>
      <c r="D18" s="91"/>
      <c r="E18" s="92"/>
      <c r="F18" s="93" t="s">
        <v>51</v>
      </c>
      <c r="G18" s="93"/>
      <c r="H18" s="4">
        <v>7800000</v>
      </c>
      <c r="I18" s="94">
        <v>140</v>
      </c>
      <c r="J18" s="95"/>
      <c r="K18" s="94"/>
      <c r="L18" s="96"/>
      <c r="M18" s="96"/>
      <c r="N18" s="95"/>
    </row>
    <row r="19" spans="2:14" ht="27.6" thickBot="1" x14ac:dyDescent="1.05">
      <c r="B19" s="6">
        <v>14</v>
      </c>
      <c r="C19" s="90">
        <v>44982</v>
      </c>
      <c r="D19" s="91"/>
      <c r="E19" s="92"/>
      <c r="F19" s="93" t="s">
        <v>21</v>
      </c>
      <c r="G19" s="93"/>
      <c r="H19" s="4">
        <v>1080000</v>
      </c>
      <c r="I19" s="94">
        <v>141</v>
      </c>
      <c r="J19" s="95"/>
      <c r="K19" s="94"/>
      <c r="L19" s="96"/>
      <c r="M19" s="96"/>
      <c r="N19" s="95"/>
    </row>
    <row r="20" spans="2:14" ht="27.6" thickBot="1" x14ac:dyDescent="1.05">
      <c r="B20" s="6">
        <v>15</v>
      </c>
      <c r="C20" s="90">
        <v>44983</v>
      </c>
      <c r="D20" s="91"/>
      <c r="E20" s="92"/>
      <c r="F20" s="93" t="s">
        <v>52</v>
      </c>
      <c r="G20" s="93"/>
      <c r="H20" s="4">
        <v>1600000</v>
      </c>
      <c r="I20" s="94">
        <v>142</v>
      </c>
      <c r="J20" s="95"/>
      <c r="K20" s="94"/>
      <c r="L20" s="96"/>
      <c r="M20" s="96"/>
      <c r="N20" s="95"/>
    </row>
    <row r="21" spans="2:14" ht="27.6" thickBot="1" x14ac:dyDescent="1.05">
      <c r="B21" s="6">
        <v>16</v>
      </c>
      <c r="C21" s="90">
        <v>44983</v>
      </c>
      <c r="D21" s="91"/>
      <c r="E21" s="92"/>
      <c r="F21" s="93" t="s">
        <v>53</v>
      </c>
      <c r="G21" s="93"/>
      <c r="H21" s="4">
        <v>31100000</v>
      </c>
      <c r="I21" s="94">
        <v>143</v>
      </c>
      <c r="J21" s="95"/>
      <c r="K21" s="94"/>
      <c r="L21" s="96"/>
      <c r="M21" s="96"/>
      <c r="N21" s="95"/>
    </row>
    <row r="22" spans="2:14" ht="27.6" thickBot="1" x14ac:dyDescent="1.05">
      <c r="B22" s="6">
        <v>17</v>
      </c>
      <c r="C22" s="90">
        <v>44984</v>
      </c>
      <c r="D22" s="91"/>
      <c r="E22" s="92"/>
      <c r="F22" s="93" t="s">
        <v>54</v>
      </c>
      <c r="G22" s="93"/>
      <c r="H22" s="4">
        <v>51600000</v>
      </c>
      <c r="I22" s="94">
        <v>144</v>
      </c>
      <c r="J22" s="95"/>
      <c r="K22" s="94"/>
      <c r="L22" s="96"/>
      <c r="M22" s="96"/>
      <c r="N22" s="95"/>
    </row>
    <row r="23" spans="2:14" ht="27.6" thickBot="1" x14ac:dyDescent="1.05">
      <c r="B23" s="6">
        <v>18</v>
      </c>
      <c r="C23" s="90">
        <v>44984</v>
      </c>
      <c r="D23" s="91"/>
      <c r="E23" s="92"/>
      <c r="F23" s="93" t="s">
        <v>55</v>
      </c>
      <c r="G23" s="93"/>
      <c r="H23" s="4">
        <v>800000</v>
      </c>
      <c r="I23" s="94">
        <v>145</v>
      </c>
      <c r="J23" s="95"/>
      <c r="K23" s="94"/>
      <c r="L23" s="96"/>
      <c r="M23" s="96"/>
      <c r="N23" s="95"/>
    </row>
    <row r="24" spans="2:14" ht="27.6" thickBot="1" x14ac:dyDescent="1.05">
      <c r="B24" s="6">
        <v>19</v>
      </c>
      <c r="C24" s="90">
        <v>44984</v>
      </c>
      <c r="D24" s="91"/>
      <c r="E24" s="92"/>
      <c r="F24" s="93" t="s">
        <v>56</v>
      </c>
      <c r="G24" s="93"/>
      <c r="H24" s="4">
        <v>13860000</v>
      </c>
      <c r="I24" s="94">
        <v>146</v>
      </c>
      <c r="J24" s="95"/>
      <c r="K24" s="94"/>
      <c r="L24" s="96"/>
      <c r="M24" s="96"/>
      <c r="N24" s="95"/>
    </row>
    <row r="25" spans="2:14" ht="27.6" thickBot="1" x14ac:dyDescent="1.05">
      <c r="B25" s="6">
        <v>20</v>
      </c>
      <c r="C25" s="90">
        <v>44984</v>
      </c>
      <c r="D25" s="91"/>
      <c r="E25" s="92"/>
      <c r="F25" s="93" t="s">
        <v>57</v>
      </c>
      <c r="G25" s="93"/>
      <c r="H25" s="4">
        <v>3150000</v>
      </c>
      <c r="I25" s="94">
        <v>147</v>
      </c>
      <c r="J25" s="95"/>
      <c r="K25" s="94"/>
      <c r="L25" s="96"/>
      <c r="M25" s="96"/>
      <c r="N25" s="95"/>
    </row>
    <row r="26" spans="2:14" ht="27.6" thickBot="1" x14ac:dyDescent="1.05">
      <c r="B26" s="6">
        <v>21</v>
      </c>
      <c r="C26" s="90">
        <v>44978</v>
      </c>
      <c r="D26" s="91"/>
      <c r="E26" s="92"/>
      <c r="F26" s="93" t="s">
        <v>58</v>
      </c>
      <c r="G26" s="93"/>
      <c r="H26" s="4">
        <v>500000</v>
      </c>
      <c r="I26" s="94">
        <v>148</v>
      </c>
      <c r="J26" s="95"/>
      <c r="K26" s="94"/>
      <c r="L26" s="96"/>
      <c r="M26" s="96"/>
      <c r="N26" s="95"/>
    </row>
    <row r="27" spans="2:14" ht="27.6" thickBot="1" x14ac:dyDescent="1.05">
      <c r="B27" s="6">
        <v>22</v>
      </c>
      <c r="C27" s="90">
        <v>44985</v>
      </c>
      <c r="D27" s="91"/>
      <c r="E27" s="92"/>
      <c r="F27" s="93" t="s">
        <v>59</v>
      </c>
      <c r="G27" s="93"/>
      <c r="H27" s="4">
        <v>980000</v>
      </c>
      <c r="I27" s="94">
        <v>149</v>
      </c>
      <c r="J27" s="95"/>
      <c r="K27" s="94"/>
      <c r="L27" s="96"/>
      <c r="M27" s="96"/>
      <c r="N27" s="95"/>
    </row>
    <row r="28" spans="2:14" ht="27.6" thickBot="1" x14ac:dyDescent="1.05">
      <c r="B28" s="6">
        <v>23</v>
      </c>
      <c r="C28" s="90">
        <v>44985</v>
      </c>
      <c r="D28" s="91"/>
      <c r="E28" s="92"/>
      <c r="F28" s="93" t="s">
        <v>59</v>
      </c>
      <c r="G28" s="93"/>
      <c r="H28" s="4">
        <v>2510000</v>
      </c>
      <c r="I28" s="94">
        <v>150</v>
      </c>
      <c r="J28" s="95"/>
      <c r="K28" s="94"/>
      <c r="L28" s="96"/>
      <c r="M28" s="96"/>
      <c r="N28" s="95"/>
    </row>
    <row r="29" spans="2:14" ht="27.6" thickBot="1" x14ac:dyDescent="1.05">
      <c r="B29" s="6">
        <v>24</v>
      </c>
      <c r="C29" s="90">
        <v>44986</v>
      </c>
      <c r="D29" s="91"/>
      <c r="E29" s="92"/>
      <c r="F29" s="93" t="s">
        <v>60</v>
      </c>
      <c r="G29" s="93"/>
      <c r="H29" s="4">
        <v>7980000</v>
      </c>
      <c r="I29" s="94">
        <v>151</v>
      </c>
      <c r="J29" s="95"/>
      <c r="K29" s="94"/>
      <c r="L29" s="96"/>
      <c r="M29" s="96"/>
      <c r="N29" s="95"/>
    </row>
    <row r="30" spans="2:14" ht="27.6" thickBot="1" x14ac:dyDescent="1.05">
      <c r="B30" s="7">
        <v>25</v>
      </c>
      <c r="C30" s="90">
        <v>44986</v>
      </c>
      <c r="D30" s="91"/>
      <c r="E30" s="92"/>
      <c r="F30" s="127" t="s">
        <v>61</v>
      </c>
      <c r="G30" s="127"/>
      <c r="H30" s="5">
        <v>76380000</v>
      </c>
      <c r="I30" s="94">
        <v>152</v>
      </c>
      <c r="J30" s="95"/>
      <c r="K30" s="94"/>
      <c r="L30" s="96"/>
      <c r="M30" s="96"/>
      <c r="N30" s="95"/>
    </row>
    <row r="31" spans="2:14" s="1" customFormat="1" ht="29.4" customHeight="1" thickTop="1" thickBot="1" x14ac:dyDescent="0.3">
      <c r="B31" s="102" t="s">
        <v>12</v>
      </c>
      <c r="C31" s="102"/>
      <c r="D31" s="102"/>
      <c r="E31" s="102"/>
      <c r="F31" s="102"/>
      <c r="G31" s="103">
        <f>SUM(H6:H30)</f>
        <v>235369090</v>
      </c>
      <c r="H31" s="104"/>
      <c r="I31" s="104"/>
      <c r="J31" s="105"/>
      <c r="K31" s="106"/>
      <c r="L31" s="107"/>
      <c r="M31" s="107"/>
      <c r="N31" s="108"/>
    </row>
    <row r="32" spans="2:14" s="1" customFormat="1" ht="29.4" customHeight="1" thickBot="1" x14ac:dyDescent="0.3">
      <c r="B32" s="100" t="s">
        <v>13</v>
      </c>
      <c r="C32" s="100"/>
      <c r="D32" s="100"/>
      <c r="E32" s="100"/>
      <c r="F32" s="100"/>
      <c r="G32" s="109"/>
      <c r="H32" s="110"/>
      <c r="I32" s="110"/>
      <c r="J32" s="111"/>
      <c r="K32" s="97"/>
      <c r="L32" s="98"/>
      <c r="M32" s="98"/>
      <c r="N32" s="99"/>
    </row>
    <row r="33" spans="2:14" ht="82.2" customHeight="1" thickBot="1" x14ac:dyDescent="0.3">
      <c r="B33" s="101" t="s">
        <v>14</v>
      </c>
      <c r="C33" s="101"/>
      <c r="D33" s="101"/>
      <c r="E33" s="101"/>
      <c r="F33" s="101" t="s">
        <v>15</v>
      </c>
      <c r="G33" s="101"/>
      <c r="H33" s="101" t="s">
        <v>16</v>
      </c>
      <c r="I33" s="101"/>
      <c r="J33" s="101" t="s">
        <v>17</v>
      </c>
      <c r="K33" s="101"/>
      <c r="L33" s="101"/>
      <c r="M33" s="101"/>
      <c r="N33" s="101"/>
    </row>
  </sheetData>
  <mergeCells count="122">
    <mergeCell ref="B33:E33"/>
    <mergeCell ref="F33:G33"/>
    <mergeCell ref="H33:I33"/>
    <mergeCell ref="J33:N33"/>
    <mergeCell ref="B31:F31"/>
    <mergeCell ref="G31:J31"/>
    <mergeCell ref="K31:N31"/>
    <mergeCell ref="B32:F32"/>
    <mergeCell ref="G32:J32"/>
    <mergeCell ref="K32:N32"/>
    <mergeCell ref="C29:E29"/>
    <mergeCell ref="F29:G29"/>
    <mergeCell ref="I29:J29"/>
    <mergeCell ref="K29:N29"/>
    <mergeCell ref="C30:E30"/>
    <mergeCell ref="F30:G30"/>
    <mergeCell ref="I30:J30"/>
    <mergeCell ref="K30:N30"/>
    <mergeCell ref="C27:E27"/>
    <mergeCell ref="F27:G27"/>
    <mergeCell ref="I27:J27"/>
    <mergeCell ref="K27:N27"/>
    <mergeCell ref="C28:E28"/>
    <mergeCell ref="F28:G28"/>
    <mergeCell ref="I28:J28"/>
    <mergeCell ref="K28:N28"/>
    <mergeCell ref="C25:E25"/>
    <mergeCell ref="F25:G25"/>
    <mergeCell ref="I25:J25"/>
    <mergeCell ref="K25:N25"/>
    <mergeCell ref="C26:E26"/>
    <mergeCell ref="F26:G26"/>
    <mergeCell ref="I26:J26"/>
    <mergeCell ref="K26:N26"/>
    <mergeCell ref="C23:E23"/>
    <mergeCell ref="F23:G23"/>
    <mergeCell ref="I23:J23"/>
    <mergeCell ref="K23:N23"/>
    <mergeCell ref="C24:E24"/>
    <mergeCell ref="F24:G24"/>
    <mergeCell ref="I24:J24"/>
    <mergeCell ref="K24:N24"/>
    <mergeCell ref="C21:E21"/>
    <mergeCell ref="F21:G21"/>
    <mergeCell ref="I21:J21"/>
    <mergeCell ref="K21:N21"/>
    <mergeCell ref="C22:E22"/>
    <mergeCell ref="F22:G22"/>
    <mergeCell ref="I22:J22"/>
    <mergeCell ref="K22:N22"/>
    <mergeCell ref="C19:E19"/>
    <mergeCell ref="F19:G19"/>
    <mergeCell ref="I19:J19"/>
    <mergeCell ref="K19:N19"/>
    <mergeCell ref="C20:E20"/>
    <mergeCell ref="F20:G20"/>
    <mergeCell ref="I20:J20"/>
    <mergeCell ref="K20:N20"/>
    <mergeCell ref="C17:E17"/>
    <mergeCell ref="F17:G17"/>
    <mergeCell ref="I17:J17"/>
    <mergeCell ref="K17:N17"/>
    <mergeCell ref="C18:E18"/>
    <mergeCell ref="F18:G18"/>
    <mergeCell ref="I18:J18"/>
    <mergeCell ref="K18:N18"/>
    <mergeCell ref="C15:E15"/>
    <mergeCell ref="F15:G15"/>
    <mergeCell ref="I15:J15"/>
    <mergeCell ref="K15:N15"/>
    <mergeCell ref="C16:E16"/>
    <mergeCell ref="F16:G16"/>
    <mergeCell ref="I16:J16"/>
    <mergeCell ref="K16:N16"/>
    <mergeCell ref="C13:E13"/>
    <mergeCell ref="F13:G13"/>
    <mergeCell ref="I13:J13"/>
    <mergeCell ref="K13:N13"/>
    <mergeCell ref="C14:E14"/>
    <mergeCell ref="F14:G14"/>
    <mergeCell ref="I14:J14"/>
    <mergeCell ref="K14:N14"/>
    <mergeCell ref="C11:E11"/>
    <mergeCell ref="F11:G11"/>
    <mergeCell ref="I11:J11"/>
    <mergeCell ref="K11:N11"/>
    <mergeCell ref="C12:E12"/>
    <mergeCell ref="F12:G12"/>
    <mergeCell ref="I12:J12"/>
    <mergeCell ref="K12:N12"/>
    <mergeCell ref="C9:E9"/>
    <mergeCell ref="F9:G9"/>
    <mergeCell ref="I9:J9"/>
    <mergeCell ref="K9:N9"/>
    <mergeCell ref="C10:E10"/>
    <mergeCell ref="F10:G10"/>
    <mergeCell ref="I10:J10"/>
    <mergeCell ref="K10:N10"/>
    <mergeCell ref="C7:E7"/>
    <mergeCell ref="F7:G7"/>
    <mergeCell ref="I7:J7"/>
    <mergeCell ref="K7:N7"/>
    <mergeCell ref="C8:E8"/>
    <mergeCell ref="F8:G8"/>
    <mergeCell ref="I8:J8"/>
    <mergeCell ref="K8:N8"/>
    <mergeCell ref="C5:E5"/>
    <mergeCell ref="F5:G5"/>
    <mergeCell ref="I5:J5"/>
    <mergeCell ref="K5:N5"/>
    <mergeCell ref="C6:E6"/>
    <mergeCell ref="F6:G6"/>
    <mergeCell ref="I6:J6"/>
    <mergeCell ref="K6:N6"/>
    <mergeCell ref="B2:E3"/>
    <mergeCell ref="F2:H3"/>
    <mergeCell ref="J2:K2"/>
    <mergeCell ref="M2:N2"/>
    <mergeCell ref="J3:N3"/>
    <mergeCell ref="B4:D4"/>
    <mergeCell ref="E4:F4"/>
    <mergeCell ref="J4:N4"/>
  </mergeCells>
  <printOptions horizontalCentered="1" verticalCentered="1"/>
  <pageMargins left="0" right="0.23622047244094491" top="0" bottom="0.51181102362204722" header="0" footer="0"/>
  <pageSetup paperSize="9" fitToWidth="0" orientation="portrait" r:id="rId1"/>
  <colBreaks count="1" manualBreakCount="1">
    <brk id="1" max="1048575" man="1"/>
  </colBreak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B1:N33"/>
  <sheetViews>
    <sheetView rightToLeft="1" showWhiteSpace="0" topLeftCell="B1" zoomScale="70" zoomScaleNormal="70" zoomScalePageLayoutView="40" workbookViewId="0">
      <selection activeCell="C9" sqref="C9:E9"/>
    </sheetView>
  </sheetViews>
  <sheetFormatPr defaultRowHeight="13.8" x14ac:dyDescent="0.25"/>
  <cols>
    <col min="2" max="2" width="5.5" customWidth="1"/>
    <col min="3" max="3" width="4.19921875" customWidth="1"/>
    <col min="4" max="4" width="7.19921875" customWidth="1"/>
    <col min="5" max="5" width="4" customWidth="1"/>
    <col min="6" max="6" width="15.59765625" customWidth="1"/>
    <col min="7" max="7" width="17.09765625" customWidth="1"/>
    <col min="8" max="8" width="19.69921875" customWidth="1"/>
    <col min="9" max="9" width="12.5" bestFit="1" customWidth="1"/>
    <col min="10" max="10" width="4.69921875" customWidth="1"/>
    <col min="11" max="11" width="13.5" customWidth="1"/>
    <col min="12" max="13" width="9.5" customWidth="1"/>
    <col min="14" max="14" width="9" customWidth="1"/>
  </cols>
  <sheetData>
    <row r="1" spans="2:14" ht="14.4" thickBot="1" x14ac:dyDescent="0.3"/>
    <row r="2" spans="2:14" ht="24.6" customHeight="1" thickBot="1" x14ac:dyDescent="0.8">
      <c r="B2" s="81"/>
      <c r="C2" s="81"/>
      <c r="D2" s="81"/>
      <c r="E2" s="81"/>
      <c r="F2" s="82" t="s">
        <v>18</v>
      </c>
      <c r="G2" s="82"/>
      <c r="H2" s="82"/>
      <c r="I2" s="11" t="s">
        <v>0</v>
      </c>
      <c r="J2" s="83"/>
      <c r="K2" s="84"/>
      <c r="L2" s="11" t="s">
        <v>1</v>
      </c>
      <c r="M2" s="83"/>
      <c r="N2" s="84"/>
    </row>
    <row r="3" spans="2:14" ht="34.950000000000003" customHeight="1" thickBot="1" x14ac:dyDescent="0.3">
      <c r="B3" s="81"/>
      <c r="C3" s="81"/>
      <c r="D3" s="81"/>
      <c r="E3" s="81"/>
      <c r="F3" s="82"/>
      <c r="G3" s="82"/>
      <c r="H3" s="82"/>
      <c r="I3" s="9" t="s">
        <v>4</v>
      </c>
      <c r="J3" s="85"/>
      <c r="K3" s="85"/>
      <c r="L3" s="85"/>
      <c r="M3" s="85"/>
      <c r="N3" s="86"/>
    </row>
    <row r="4" spans="2:14" ht="24" thickBot="1" x14ac:dyDescent="0.8">
      <c r="B4" s="87" t="s">
        <v>2</v>
      </c>
      <c r="C4" s="87"/>
      <c r="D4" s="88"/>
      <c r="E4" s="84"/>
      <c r="F4" s="89"/>
      <c r="G4" s="11" t="s">
        <v>3</v>
      </c>
      <c r="H4" s="2"/>
      <c r="I4" s="11" t="s">
        <v>5</v>
      </c>
      <c r="J4" s="83"/>
      <c r="K4" s="83"/>
      <c r="L4" s="83"/>
      <c r="M4" s="83"/>
      <c r="N4" s="84"/>
    </row>
    <row r="5" spans="2:14" s="1" customFormat="1" ht="29.4" customHeight="1" thickBot="1" x14ac:dyDescent="0.3">
      <c r="B5" s="10" t="s">
        <v>6</v>
      </c>
      <c r="C5" s="100" t="s">
        <v>7</v>
      </c>
      <c r="D5" s="100"/>
      <c r="E5" s="100"/>
      <c r="F5" s="100" t="s">
        <v>8</v>
      </c>
      <c r="G5" s="100"/>
      <c r="H5" s="10" t="s">
        <v>9</v>
      </c>
      <c r="I5" s="97" t="s">
        <v>10</v>
      </c>
      <c r="J5" s="99"/>
      <c r="K5" s="97" t="s">
        <v>11</v>
      </c>
      <c r="L5" s="98"/>
      <c r="M5" s="98"/>
      <c r="N5" s="99"/>
    </row>
    <row r="6" spans="2:14" ht="27.6" thickBot="1" x14ac:dyDescent="1.05">
      <c r="B6" s="6">
        <v>1</v>
      </c>
      <c r="C6" s="125">
        <v>44967</v>
      </c>
      <c r="D6" s="125"/>
      <c r="E6" s="125"/>
      <c r="F6" s="93" t="s">
        <v>41</v>
      </c>
      <c r="G6" s="93"/>
      <c r="H6" s="4">
        <v>900000</v>
      </c>
      <c r="I6" s="94">
        <v>123</v>
      </c>
      <c r="J6" s="95"/>
      <c r="K6" s="94"/>
      <c r="L6" s="96"/>
      <c r="M6" s="96"/>
      <c r="N6" s="95"/>
    </row>
    <row r="7" spans="2:14" ht="27.6" thickBot="1" x14ac:dyDescent="1.05">
      <c r="B7" s="6">
        <v>2</v>
      </c>
      <c r="C7" s="125">
        <v>44971</v>
      </c>
      <c r="D7" s="125"/>
      <c r="E7" s="125"/>
      <c r="F7" s="93" t="s">
        <v>42</v>
      </c>
      <c r="G7" s="93"/>
      <c r="H7" s="4">
        <v>4700000</v>
      </c>
      <c r="I7" s="94">
        <v>124</v>
      </c>
      <c r="J7" s="95"/>
      <c r="K7" s="94"/>
      <c r="L7" s="96"/>
      <c r="M7" s="96"/>
      <c r="N7" s="95"/>
    </row>
    <row r="8" spans="2:14" ht="27.6" thickBot="1" x14ac:dyDescent="1.05">
      <c r="B8" s="6">
        <v>3</v>
      </c>
      <c r="C8" s="125">
        <v>44971</v>
      </c>
      <c r="D8" s="125"/>
      <c r="E8" s="125"/>
      <c r="F8" s="93" t="s">
        <v>40</v>
      </c>
      <c r="G8" s="93"/>
      <c r="H8" s="4">
        <v>1160000</v>
      </c>
      <c r="I8" s="94">
        <v>125</v>
      </c>
      <c r="J8" s="95"/>
      <c r="K8" s="94"/>
      <c r="L8" s="96"/>
      <c r="M8" s="96"/>
      <c r="N8" s="95"/>
    </row>
    <row r="9" spans="2:14" ht="27.6" thickBot="1" x14ac:dyDescent="1.05">
      <c r="B9" s="6">
        <v>4</v>
      </c>
      <c r="C9" s="125">
        <v>44973</v>
      </c>
      <c r="D9" s="125"/>
      <c r="E9" s="125"/>
      <c r="F9" s="93" t="s">
        <v>42</v>
      </c>
      <c r="G9" s="93"/>
      <c r="H9" s="4">
        <v>3800000</v>
      </c>
      <c r="I9" s="94">
        <v>126</v>
      </c>
      <c r="J9" s="95"/>
      <c r="K9" s="94"/>
      <c r="L9" s="96"/>
      <c r="M9" s="96"/>
      <c r="N9" s="95"/>
    </row>
    <row r="10" spans="2:14" ht="27.6" thickBot="1" x14ac:dyDescent="1.05">
      <c r="B10" s="6">
        <v>5</v>
      </c>
      <c r="C10" s="125">
        <v>44978</v>
      </c>
      <c r="D10" s="125"/>
      <c r="E10" s="125"/>
      <c r="F10" s="93" t="s">
        <v>39</v>
      </c>
      <c r="G10" s="93"/>
      <c r="H10" s="4">
        <v>13000000</v>
      </c>
      <c r="I10" s="94">
        <v>127</v>
      </c>
      <c r="J10" s="95"/>
      <c r="K10" s="94"/>
      <c r="L10" s="96"/>
      <c r="M10" s="96"/>
      <c r="N10" s="95"/>
    </row>
    <row r="11" spans="2:14" ht="27.6" thickBot="1" x14ac:dyDescent="1.05">
      <c r="B11" s="6">
        <v>6</v>
      </c>
      <c r="C11" s="125"/>
      <c r="D11" s="125"/>
      <c r="E11" s="125"/>
      <c r="F11" s="93"/>
      <c r="G11" s="93"/>
      <c r="H11" s="4"/>
      <c r="I11" s="94"/>
      <c r="J11" s="95"/>
      <c r="K11" s="94"/>
      <c r="L11" s="96"/>
      <c r="M11" s="96"/>
      <c r="N11" s="95"/>
    </row>
    <row r="12" spans="2:14" ht="27.6" thickBot="1" x14ac:dyDescent="1.05">
      <c r="B12" s="6">
        <v>7</v>
      </c>
      <c r="C12" s="125"/>
      <c r="D12" s="125"/>
      <c r="E12" s="125"/>
      <c r="F12" s="93"/>
      <c r="G12" s="93"/>
      <c r="H12" s="4"/>
      <c r="I12" s="94"/>
      <c r="J12" s="95"/>
      <c r="K12" s="94"/>
      <c r="L12" s="96"/>
      <c r="M12" s="96"/>
      <c r="N12" s="95"/>
    </row>
    <row r="13" spans="2:14" ht="27.6" thickBot="1" x14ac:dyDescent="1.05">
      <c r="B13" s="6">
        <v>8</v>
      </c>
      <c r="C13" s="125"/>
      <c r="D13" s="125"/>
      <c r="E13" s="125"/>
      <c r="F13" s="93"/>
      <c r="G13" s="93"/>
      <c r="H13" s="4"/>
      <c r="I13" s="94"/>
      <c r="J13" s="95"/>
      <c r="K13" s="94"/>
      <c r="L13" s="96"/>
      <c r="M13" s="96"/>
      <c r="N13" s="95"/>
    </row>
    <row r="14" spans="2:14" ht="27.6" thickBot="1" x14ac:dyDescent="1.05">
      <c r="B14" s="6">
        <v>9</v>
      </c>
      <c r="C14" s="125"/>
      <c r="D14" s="125"/>
      <c r="E14" s="125"/>
      <c r="F14" s="93"/>
      <c r="G14" s="93"/>
      <c r="H14" s="4"/>
      <c r="I14" s="94"/>
      <c r="J14" s="95"/>
      <c r="K14" s="94"/>
      <c r="L14" s="96"/>
      <c r="M14" s="96"/>
      <c r="N14" s="95"/>
    </row>
    <row r="15" spans="2:14" ht="27.6" thickBot="1" x14ac:dyDescent="1.05">
      <c r="B15" s="6">
        <v>10</v>
      </c>
      <c r="C15" s="125"/>
      <c r="D15" s="125"/>
      <c r="E15" s="125"/>
      <c r="F15" s="93"/>
      <c r="G15" s="93"/>
      <c r="H15" s="4"/>
      <c r="I15" s="94"/>
      <c r="J15" s="95"/>
      <c r="K15" s="94"/>
      <c r="L15" s="96"/>
      <c r="M15" s="96"/>
      <c r="N15" s="95"/>
    </row>
    <row r="16" spans="2:14" ht="27.6" thickBot="1" x14ac:dyDescent="1.05">
      <c r="B16" s="6">
        <v>11</v>
      </c>
      <c r="C16" s="125"/>
      <c r="D16" s="125"/>
      <c r="E16" s="125"/>
      <c r="F16" s="93"/>
      <c r="G16" s="93"/>
      <c r="H16" s="4"/>
      <c r="I16" s="94"/>
      <c r="J16" s="95"/>
      <c r="K16" s="94"/>
      <c r="L16" s="96"/>
      <c r="M16" s="96"/>
      <c r="N16" s="95"/>
    </row>
    <row r="17" spans="2:14" ht="27.6" thickBot="1" x14ac:dyDescent="1.05">
      <c r="B17" s="6">
        <v>12</v>
      </c>
      <c r="C17" s="125"/>
      <c r="D17" s="125"/>
      <c r="E17" s="125"/>
      <c r="F17" s="93"/>
      <c r="G17" s="93"/>
      <c r="H17" s="4"/>
      <c r="I17" s="94"/>
      <c r="J17" s="95"/>
      <c r="K17" s="94"/>
      <c r="L17" s="96"/>
      <c r="M17" s="96"/>
      <c r="N17" s="95"/>
    </row>
    <row r="18" spans="2:14" ht="27.6" thickBot="1" x14ac:dyDescent="1.05">
      <c r="B18" s="6">
        <v>13</v>
      </c>
      <c r="C18" s="125"/>
      <c r="D18" s="125"/>
      <c r="E18" s="125"/>
      <c r="F18" s="93"/>
      <c r="G18" s="93"/>
      <c r="H18" s="4"/>
      <c r="I18" s="94"/>
      <c r="J18" s="95"/>
      <c r="K18" s="94"/>
      <c r="L18" s="96"/>
      <c r="M18" s="96"/>
      <c r="N18" s="95"/>
    </row>
    <row r="19" spans="2:14" ht="27.6" thickBot="1" x14ac:dyDescent="1.05">
      <c r="B19" s="6">
        <v>14</v>
      </c>
      <c r="C19" s="125"/>
      <c r="D19" s="125"/>
      <c r="E19" s="125"/>
      <c r="F19" s="93"/>
      <c r="G19" s="93"/>
      <c r="H19" s="4"/>
      <c r="I19" s="94"/>
      <c r="J19" s="95"/>
      <c r="K19" s="94"/>
      <c r="L19" s="96"/>
      <c r="M19" s="96"/>
      <c r="N19" s="95"/>
    </row>
    <row r="20" spans="2:14" ht="27.6" thickBot="1" x14ac:dyDescent="1.05">
      <c r="B20" s="6">
        <v>15</v>
      </c>
      <c r="C20" s="125"/>
      <c r="D20" s="125"/>
      <c r="E20" s="125"/>
      <c r="F20" s="93"/>
      <c r="G20" s="93"/>
      <c r="H20" s="4"/>
      <c r="I20" s="94"/>
      <c r="J20" s="95"/>
      <c r="K20" s="94"/>
      <c r="L20" s="96"/>
      <c r="M20" s="96"/>
      <c r="N20" s="95"/>
    </row>
    <row r="21" spans="2:14" ht="27.6" thickBot="1" x14ac:dyDescent="1.05">
      <c r="B21" s="6">
        <v>16</v>
      </c>
      <c r="C21" s="125"/>
      <c r="D21" s="125"/>
      <c r="E21" s="125"/>
      <c r="F21" s="93"/>
      <c r="G21" s="93"/>
      <c r="H21" s="4"/>
      <c r="I21" s="94"/>
      <c r="J21" s="95"/>
      <c r="K21" s="94"/>
      <c r="L21" s="96"/>
      <c r="M21" s="96"/>
      <c r="N21" s="95"/>
    </row>
    <row r="22" spans="2:14" ht="27.6" thickBot="1" x14ac:dyDescent="1.05">
      <c r="B22" s="6">
        <v>17</v>
      </c>
      <c r="C22" s="125"/>
      <c r="D22" s="125"/>
      <c r="E22" s="125"/>
      <c r="F22" s="93"/>
      <c r="G22" s="93"/>
      <c r="H22" s="4"/>
      <c r="I22" s="94"/>
      <c r="J22" s="95"/>
      <c r="K22" s="94"/>
      <c r="L22" s="96"/>
      <c r="M22" s="96"/>
      <c r="N22" s="95"/>
    </row>
    <row r="23" spans="2:14" ht="27.6" thickBot="1" x14ac:dyDescent="1.05">
      <c r="B23" s="6">
        <v>18</v>
      </c>
      <c r="C23" s="125"/>
      <c r="D23" s="125"/>
      <c r="E23" s="125"/>
      <c r="F23" s="93"/>
      <c r="G23" s="93"/>
      <c r="H23" s="4"/>
      <c r="I23" s="94"/>
      <c r="J23" s="95"/>
      <c r="K23" s="94"/>
      <c r="L23" s="96"/>
      <c r="M23" s="96"/>
      <c r="N23" s="95"/>
    </row>
    <row r="24" spans="2:14" ht="27.6" thickBot="1" x14ac:dyDescent="1.05">
      <c r="B24" s="6">
        <v>19</v>
      </c>
      <c r="C24" s="125"/>
      <c r="D24" s="125"/>
      <c r="E24" s="125"/>
      <c r="F24" s="93"/>
      <c r="G24" s="93"/>
      <c r="H24" s="4"/>
      <c r="I24" s="94"/>
      <c r="J24" s="95"/>
      <c r="K24" s="94"/>
      <c r="L24" s="96"/>
      <c r="M24" s="96"/>
      <c r="N24" s="95"/>
    </row>
    <row r="25" spans="2:14" ht="27.6" thickBot="1" x14ac:dyDescent="1.05">
      <c r="B25" s="6">
        <v>20</v>
      </c>
      <c r="C25" s="125"/>
      <c r="D25" s="125"/>
      <c r="E25" s="125"/>
      <c r="F25" s="93"/>
      <c r="G25" s="93"/>
      <c r="H25" s="4"/>
      <c r="I25" s="94"/>
      <c r="J25" s="95"/>
      <c r="K25" s="94"/>
      <c r="L25" s="96"/>
      <c r="M25" s="96"/>
      <c r="N25" s="95"/>
    </row>
    <row r="26" spans="2:14" ht="27.6" thickBot="1" x14ac:dyDescent="1.05">
      <c r="B26" s="6">
        <v>21</v>
      </c>
      <c r="C26" s="125"/>
      <c r="D26" s="125"/>
      <c r="E26" s="125"/>
      <c r="F26" s="93"/>
      <c r="G26" s="93"/>
      <c r="H26" s="4"/>
      <c r="I26" s="94"/>
      <c r="J26" s="95"/>
      <c r="K26" s="94"/>
      <c r="L26" s="96"/>
      <c r="M26" s="96"/>
      <c r="N26" s="95"/>
    </row>
    <row r="27" spans="2:14" ht="27.6" thickBot="1" x14ac:dyDescent="1.05">
      <c r="B27" s="6">
        <v>22</v>
      </c>
      <c r="C27" s="125"/>
      <c r="D27" s="125"/>
      <c r="E27" s="125"/>
      <c r="F27" s="93"/>
      <c r="G27" s="93"/>
      <c r="H27" s="4"/>
      <c r="I27" s="94"/>
      <c r="J27" s="95"/>
      <c r="K27" s="94"/>
      <c r="L27" s="96"/>
      <c r="M27" s="96"/>
      <c r="N27" s="95"/>
    </row>
    <row r="28" spans="2:14" ht="27.6" thickBot="1" x14ac:dyDescent="1.05">
      <c r="B28" s="6">
        <v>23</v>
      </c>
      <c r="C28" s="125"/>
      <c r="D28" s="125"/>
      <c r="E28" s="125"/>
      <c r="F28" s="93"/>
      <c r="G28" s="93"/>
      <c r="H28" s="4"/>
      <c r="I28" s="94"/>
      <c r="J28" s="95"/>
      <c r="K28" s="94"/>
      <c r="L28" s="96"/>
      <c r="M28" s="96"/>
      <c r="N28" s="95"/>
    </row>
    <row r="29" spans="2:14" ht="27.6" thickBot="1" x14ac:dyDescent="1.05">
      <c r="B29" s="6">
        <v>24</v>
      </c>
      <c r="C29" s="125"/>
      <c r="D29" s="125"/>
      <c r="E29" s="125"/>
      <c r="F29" s="93"/>
      <c r="G29" s="93"/>
      <c r="H29" s="4"/>
      <c r="I29" s="94"/>
      <c r="J29" s="95"/>
      <c r="K29" s="94"/>
      <c r="L29" s="96"/>
      <c r="M29" s="96"/>
      <c r="N29" s="95"/>
    </row>
    <row r="30" spans="2:14" ht="27.6" thickBot="1" x14ac:dyDescent="1.05">
      <c r="B30" s="7">
        <v>25</v>
      </c>
      <c r="C30" s="125"/>
      <c r="D30" s="125"/>
      <c r="E30" s="125"/>
      <c r="F30" s="127"/>
      <c r="G30" s="127"/>
      <c r="H30" s="5"/>
      <c r="I30" s="94"/>
      <c r="J30" s="95"/>
      <c r="K30" s="94"/>
      <c r="L30" s="96"/>
      <c r="M30" s="96"/>
      <c r="N30" s="95"/>
    </row>
    <row r="31" spans="2:14" s="1" customFormat="1" ht="29.4" customHeight="1" thickTop="1" thickBot="1" x14ac:dyDescent="0.3">
      <c r="B31" s="102" t="s">
        <v>12</v>
      </c>
      <c r="C31" s="102"/>
      <c r="D31" s="102"/>
      <c r="E31" s="102"/>
      <c r="F31" s="102"/>
      <c r="G31" s="103">
        <f>SUM(H6:H30)</f>
        <v>23560000</v>
      </c>
      <c r="H31" s="104"/>
      <c r="I31" s="104"/>
      <c r="J31" s="105"/>
      <c r="K31" s="106"/>
      <c r="L31" s="107"/>
      <c r="M31" s="107"/>
      <c r="N31" s="108"/>
    </row>
    <row r="32" spans="2:14" s="1" customFormat="1" ht="29.4" customHeight="1" thickBot="1" x14ac:dyDescent="0.3">
      <c r="B32" s="100" t="s">
        <v>13</v>
      </c>
      <c r="C32" s="100"/>
      <c r="D32" s="100"/>
      <c r="E32" s="100"/>
      <c r="F32" s="100"/>
      <c r="G32" s="109"/>
      <c r="H32" s="110"/>
      <c r="I32" s="110"/>
      <c r="J32" s="111"/>
      <c r="K32" s="97"/>
      <c r="L32" s="98"/>
      <c r="M32" s="98"/>
      <c r="N32" s="99"/>
    </row>
    <row r="33" spans="2:14" ht="82.2" customHeight="1" thickBot="1" x14ac:dyDescent="0.3">
      <c r="B33" s="101" t="s">
        <v>14</v>
      </c>
      <c r="C33" s="101"/>
      <c r="D33" s="101"/>
      <c r="E33" s="101"/>
      <c r="F33" s="101" t="s">
        <v>15</v>
      </c>
      <c r="G33" s="101"/>
      <c r="H33" s="101" t="s">
        <v>16</v>
      </c>
      <c r="I33" s="101"/>
      <c r="J33" s="101" t="s">
        <v>17</v>
      </c>
      <c r="K33" s="101"/>
      <c r="L33" s="101"/>
      <c r="M33" s="101"/>
      <c r="N33" s="101"/>
    </row>
  </sheetData>
  <mergeCells count="122">
    <mergeCell ref="C5:E5"/>
    <mergeCell ref="F5:G5"/>
    <mergeCell ref="I5:J5"/>
    <mergeCell ref="K5:N5"/>
    <mergeCell ref="C6:E6"/>
    <mergeCell ref="F6:G6"/>
    <mergeCell ref="I6:J6"/>
    <mergeCell ref="K6:N6"/>
    <mergeCell ref="B2:E3"/>
    <mergeCell ref="F2:H3"/>
    <mergeCell ref="J2:K2"/>
    <mergeCell ref="M2:N2"/>
    <mergeCell ref="J3:N3"/>
    <mergeCell ref="B4:D4"/>
    <mergeCell ref="E4:F4"/>
    <mergeCell ref="J4:N4"/>
    <mergeCell ref="C9:E9"/>
    <mergeCell ref="F9:G9"/>
    <mergeCell ref="I9:J9"/>
    <mergeCell ref="K9:N9"/>
    <mergeCell ref="C10:E10"/>
    <mergeCell ref="F10:G10"/>
    <mergeCell ref="I10:J10"/>
    <mergeCell ref="K10:N10"/>
    <mergeCell ref="C7:E7"/>
    <mergeCell ref="F7:G7"/>
    <mergeCell ref="I7:J7"/>
    <mergeCell ref="K7:N7"/>
    <mergeCell ref="C8:E8"/>
    <mergeCell ref="F8:G8"/>
    <mergeCell ref="I8:J8"/>
    <mergeCell ref="K8:N8"/>
    <mergeCell ref="C13:E13"/>
    <mergeCell ref="F13:G13"/>
    <mergeCell ref="I13:J13"/>
    <mergeCell ref="K13:N13"/>
    <mergeCell ref="C14:E14"/>
    <mergeCell ref="F14:G14"/>
    <mergeCell ref="I14:J14"/>
    <mergeCell ref="K14:N14"/>
    <mergeCell ref="C11:E11"/>
    <mergeCell ref="F11:G11"/>
    <mergeCell ref="I11:J11"/>
    <mergeCell ref="K11:N11"/>
    <mergeCell ref="C12:E12"/>
    <mergeCell ref="F12:G12"/>
    <mergeCell ref="I12:J12"/>
    <mergeCell ref="K12:N12"/>
    <mergeCell ref="C17:E17"/>
    <mergeCell ref="F17:G17"/>
    <mergeCell ref="I17:J17"/>
    <mergeCell ref="K17:N17"/>
    <mergeCell ref="C18:E18"/>
    <mergeCell ref="F18:G18"/>
    <mergeCell ref="I18:J18"/>
    <mergeCell ref="K18:N18"/>
    <mergeCell ref="C15:E15"/>
    <mergeCell ref="F15:G15"/>
    <mergeCell ref="I15:J15"/>
    <mergeCell ref="K15:N15"/>
    <mergeCell ref="C16:E16"/>
    <mergeCell ref="F16:G16"/>
    <mergeCell ref="I16:J16"/>
    <mergeCell ref="K16:N16"/>
    <mergeCell ref="C21:E21"/>
    <mergeCell ref="F21:G21"/>
    <mergeCell ref="I21:J21"/>
    <mergeCell ref="K21:N21"/>
    <mergeCell ref="C22:E22"/>
    <mergeCell ref="F22:G22"/>
    <mergeCell ref="I22:J22"/>
    <mergeCell ref="K22:N22"/>
    <mergeCell ref="C19:E19"/>
    <mergeCell ref="F19:G19"/>
    <mergeCell ref="I19:J19"/>
    <mergeCell ref="K19:N19"/>
    <mergeCell ref="C20:E20"/>
    <mergeCell ref="F20:G20"/>
    <mergeCell ref="I20:J20"/>
    <mergeCell ref="K20:N20"/>
    <mergeCell ref="C25:E25"/>
    <mergeCell ref="F25:G25"/>
    <mergeCell ref="I25:J25"/>
    <mergeCell ref="K25:N25"/>
    <mergeCell ref="C26:E26"/>
    <mergeCell ref="F26:G26"/>
    <mergeCell ref="I26:J26"/>
    <mergeCell ref="K26:N26"/>
    <mergeCell ref="C23:E23"/>
    <mergeCell ref="F23:G23"/>
    <mergeCell ref="I23:J23"/>
    <mergeCell ref="K23:N23"/>
    <mergeCell ref="C24:E24"/>
    <mergeCell ref="F24:G24"/>
    <mergeCell ref="I24:J24"/>
    <mergeCell ref="K24:N24"/>
    <mergeCell ref="C29:E29"/>
    <mergeCell ref="F29:G29"/>
    <mergeCell ref="I29:J29"/>
    <mergeCell ref="K29:N29"/>
    <mergeCell ref="C30:E30"/>
    <mergeCell ref="F30:G30"/>
    <mergeCell ref="I30:J30"/>
    <mergeCell ref="K30:N30"/>
    <mergeCell ref="C27:E27"/>
    <mergeCell ref="F27:G27"/>
    <mergeCell ref="I27:J27"/>
    <mergeCell ref="K27:N27"/>
    <mergeCell ref="C28:E28"/>
    <mergeCell ref="F28:G28"/>
    <mergeCell ref="I28:J28"/>
    <mergeCell ref="K28:N28"/>
    <mergeCell ref="B33:E33"/>
    <mergeCell ref="F33:G33"/>
    <mergeCell ref="H33:I33"/>
    <mergeCell ref="J33:N33"/>
    <mergeCell ref="B31:F31"/>
    <mergeCell ref="G31:J31"/>
    <mergeCell ref="K31:N31"/>
    <mergeCell ref="B32:F32"/>
    <mergeCell ref="G32:J32"/>
    <mergeCell ref="K32:N32"/>
  </mergeCells>
  <printOptions horizontalCentered="1" verticalCentered="1"/>
  <pageMargins left="0.25" right="0.25" top="0.5" bottom="0.5" header="0" footer="0"/>
  <pageSetup paperSize="9" scale="63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B1:N33"/>
  <sheetViews>
    <sheetView rightToLeft="1" showWhiteSpace="0" topLeftCell="A4" zoomScale="70" zoomScaleNormal="70" zoomScalePageLayoutView="40" workbookViewId="0">
      <selection activeCell="H7" sqref="H7"/>
    </sheetView>
  </sheetViews>
  <sheetFormatPr defaultRowHeight="13.8" x14ac:dyDescent="0.25"/>
  <cols>
    <col min="2" max="2" width="5.5" customWidth="1"/>
    <col min="3" max="3" width="4.19921875" customWidth="1"/>
    <col min="4" max="4" width="7.19921875" customWidth="1"/>
    <col min="5" max="5" width="4" customWidth="1"/>
    <col min="6" max="6" width="15.59765625" customWidth="1"/>
    <col min="7" max="7" width="17.09765625" customWidth="1"/>
    <col min="8" max="8" width="19.69921875" customWidth="1"/>
    <col min="9" max="9" width="12.5" bestFit="1" customWidth="1"/>
    <col min="10" max="10" width="4.69921875" customWidth="1"/>
    <col min="11" max="11" width="13.5" customWidth="1"/>
    <col min="12" max="13" width="9.5" customWidth="1"/>
    <col min="14" max="14" width="9" customWidth="1"/>
  </cols>
  <sheetData>
    <row r="1" spans="2:14" ht="14.4" thickBot="1" x14ac:dyDescent="0.3"/>
    <row r="2" spans="2:14" ht="24.6" customHeight="1" thickBot="1" x14ac:dyDescent="0.8">
      <c r="B2" s="81"/>
      <c r="C2" s="81"/>
      <c r="D2" s="81"/>
      <c r="E2" s="81"/>
      <c r="F2" s="82" t="s">
        <v>18</v>
      </c>
      <c r="G2" s="82"/>
      <c r="H2" s="82"/>
      <c r="I2" s="8" t="s">
        <v>0</v>
      </c>
      <c r="J2" s="83"/>
      <c r="K2" s="84"/>
      <c r="L2" s="8" t="s">
        <v>1</v>
      </c>
      <c r="M2" s="83"/>
      <c r="N2" s="84"/>
    </row>
    <row r="3" spans="2:14" ht="34.950000000000003" customHeight="1" thickBot="1" x14ac:dyDescent="0.3">
      <c r="B3" s="81"/>
      <c r="C3" s="81"/>
      <c r="D3" s="81"/>
      <c r="E3" s="81"/>
      <c r="F3" s="82"/>
      <c r="G3" s="82"/>
      <c r="H3" s="82"/>
      <c r="I3" s="9" t="s">
        <v>4</v>
      </c>
      <c r="J3" s="85"/>
      <c r="K3" s="85"/>
      <c r="L3" s="85"/>
      <c r="M3" s="85"/>
      <c r="N3" s="86"/>
    </row>
    <row r="4" spans="2:14" ht="24" thickBot="1" x14ac:dyDescent="0.8">
      <c r="B4" s="87" t="s">
        <v>2</v>
      </c>
      <c r="C4" s="87"/>
      <c r="D4" s="88"/>
      <c r="E4" s="84"/>
      <c r="F4" s="89"/>
      <c r="G4" s="8" t="s">
        <v>3</v>
      </c>
      <c r="H4" s="2"/>
      <c r="I4" s="8" t="s">
        <v>5</v>
      </c>
      <c r="J4" s="83"/>
      <c r="K4" s="83"/>
      <c r="L4" s="83"/>
      <c r="M4" s="83"/>
      <c r="N4" s="84"/>
    </row>
    <row r="5" spans="2:14" s="1" customFormat="1" ht="29.4" customHeight="1" thickBot="1" x14ac:dyDescent="0.3">
      <c r="B5" s="3" t="s">
        <v>6</v>
      </c>
      <c r="C5" s="100" t="s">
        <v>7</v>
      </c>
      <c r="D5" s="100"/>
      <c r="E5" s="100"/>
      <c r="F5" s="100" t="s">
        <v>8</v>
      </c>
      <c r="G5" s="100"/>
      <c r="H5" s="3" t="s">
        <v>9</v>
      </c>
      <c r="I5" s="97" t="s">
        <v>10</v>
      </c>
      <c r="J5" s="99"/>
      <c r="K5" s="97" t="s">
        <v>11</v>
      </c>
      <c r="L5" s="98"/>
      <c r="M5" s="98"/>
      <c r="N5" s="99"/>
    </row>
    <row r="6" spans="2:14" ht="27.6" thickBot="1" x14ac:dyDescent="1.05">
      <c r="B6" s="6">
        <v>1</v>
      </c>
      <c r="C6" s="125">
        <v>44958</v>
      </c>
      <c r="D6" s="125"/>
      <c r="E6" s="125"/>
      <c r="F6" s="93" t="s">
        <v>19</v>
      </c>
      <c r="G6" s="93"/>
      <c r="H6" s="4">
        <v>1310000</v>
      </c>
      <c r="I6" s="94">
        <v>99</v>
      </c>
      <c r="J6" s="95"/>
      <c r="K6" s="94"/>
      <c r="L6" s="96"/>
      <c r="M6" s="96"/>
      <c r="N6" s="95"/>
    </row>
    <row r="7" spans="2:14" ht="27.6" thickBot="1" x14ac:dyDescent="1.05">
      <c r="B7" s="6">
        <v>2</v>
      </c>
      <c r="C7" s="125">
        <v>44958</v>
      </c>
      <c r="D7" s="125"/>
      <c r="E7" s="125"/>
      <c r="F7" s="93" t="s">
        <v>20</v>
      </c>
      <c r="G7" s="93"/>
      <c r="H7" s="4">
        <v>1950000</v>
      </c>
      <c r="I7" s="94">
        <v>100</v>
      </c>
      <c r="J7" s="95"/>
      <c r="K7" s="94"/>
      <c r="L7" s="96"/>
      <c r="M7" s="96"/>
      <c r="N7" s="95"/>
    </row>
    <row r="8" spans="2:14" ht="27.6" thickBot="1" x14ac:dyDescent="1.05">
      <c r="B8" s="6">
        <v>3</v>
      </c>
      <c r="C8" s="125">
        <v>44960</v>
      </c>
      <c r="D8" s="125"/>
      <c r="E8" s="125"/>
      <c r="F8" s="93" t="s">
        <v>21</v>
      </c>
      <c r="G8" s="93"/>
      <c r="H8" s="4">
        <v>1040000</v>
      </c>
      <c r="I8" s="94">
        <v>101</v>
      </c>
      <c r="J8" s="95"/>
      <c r="K8" s="94"/>
      <c r="L8" s="96"/>
      <c r="M8" s="96"/>
      <c r="N8" s="95"/>
    </row>
    <row r="9" spans="2:14" ht="27.6" thickBot="1" x14ac:dyDescent="1.05">
      <c r="B9" s="6">
        <v>4</v>
      </c>
      <c r="C9" s="125">
        <v>44961</v>
      </c>
      <c r="D9" s="125"/>
      <c r="E9" s="125"/>
      <c r="F9" s="93" t="s">
        <v>22</v>
      </c>
      <c r="G9" s="93"/>
      <c r="H9" s="4">
        <v>3000000</v>
      </c>
      <c r="I9" s="94">
        <v>102</v>
      </c>
      <c r="J9" s="95"/>
      <c r="K9" s="94"/>
      <c r="L9" s="96"/>
      <c r="M9" s="96"/>
      <c r="N9" s="95"/>
    </row>
    <row r="10" spans="2:14" ht="27.6" thickBot="1" x14ac:dyDescent="1.05">
      <c r="B10" s="6">
        <v>5</v>
      </c>
      <c r="C10" s="125">
        <v>44961</v>
      </c>
      <c r="D10" s="125"/>
      <c r="E10" s="125"/>
      <c r="F10" s="93" t="s">
        <v>34</v>
      </c>
      <c r="G10" s="93"/>
      <c r="H10" s="4">
        <v>9000000</v>
      </c>
      <c r="I10" s="94">
        <v>103</v>
      </c>
      <c r="J10" s="95"/>
      <c r="K10" s="94"/>
      <c r="L10" s="96"/>
      <c r="M10" s="96"/>
      <c r="N10" s="95"/>
    </row>
    <row r="11" spans="2:14" ht="27.6" thickBot="1" x14ac:dyDescent="1.05">
      <c r="B11" s="6">
        <v>6</v>
      </c>
      <c r="C11" s="125">
        <v>44963</v>
      </c>
      <c r="D11" s="125"/>
      <c r="E11" s="125"/>
      <c r="F11" s="93" t="s">
        <v>35</v>
      </c>
      <c r="G11" s="93"/>
      <c r="H11" s="4">
        <v>9800000</v>
      </c>
      <c r="I11" s="94">
        <v>104</v>
      </c>
      <c r="J11" s="95"/>
      <c r="K11" s="94"/>
      <c r="L11" s="96"/>
      <c r="M11" s="96"/>
      <c r="N11" s="95"/>
    </row>
    <row r="12" spans="2:14" ht="27.6" thickBot="1" x14ac:dyDescent="1.05">
      <c r="B12" s="6">
        <v>7</v>
      </c>
      <c r="C12" s="125">
        <v>44964</v>
      </c>
      <c r="D12" s="125"/>
      <c r="E12" s="125"/>
      <c r="F12" s="93" t="s">
        <v>21</v>
      </c>
      <c r="G12" s="93"/>
      <c r="H12" s="4">
        <v>770000</v>
      </c>
      <c r="I12" s="94">
        <v>105</v>
      </c>
      <c r="J12" s="95"/>
      <c r="K12" s="94"/>
      <c r="L12" s="96"/>
      <c r="M12" s="96"/>
      <c r="N12" s="95"/>
    </row>
    <row r="13" spans="2:14" ht="27.6" thickBot="1" x14ac:dyDescent="1.05">
      <c r="B13" s="6">
        <v>8</v>
      </c>
      <c r="C13" s="125">
        <v>44964</v>
      </c>
      <c r="D13" s="125"/>
      <c r="E13" s="125"/>
      <c r="F13" s="93" t="s">
        <v>36</v>
      </c>
      <c r="G13" s="93"/>
      <c r="H13" s="4">
        <v>400000</v>
      </c>
      <c r="I13" s="94">
        <v>106</v>
      </c>
      <c r="J13" s="95"/>
      <c r="K13" s="94"/>
      <c r="L13" s="96"/>
      <c r="M13" s="96"/>
      <c r="N13" s="95"/>
    </row>
    <row r="14" spans="2:14" ht="27.6" thickBot="1" x14ac:dyDescent="1.05">
      <c r="B14" s="6">
        <v>9</v>
      </c>
      <c r="C14" s="125">
        <v>44965</v>
      </c>
      <c r="D14" s="125"/>
      <c r="E14" s="125"/>
      <c r="F14" s="93" t="s">
        <v>23</v>
      </c>
      <c r="G14" s="93"/>
      <c r="H14" s="4">
        <v>1990000</v>
      </c>
      <c r="I14" s="94">
        <v>107</v>
      </c>
      <c r="J14" s="95"/>
      <c r="K14" s="94"/>
      <c r="L14" s="96"/>
      <c r="M14" s="96"/>
      <c r="N14" s="95"/>
    </row>
    <row r="15" spans="2:14" ht="27.6" thickBot="1" x14ac:dyDescent="1.05">
      <c r="B15" s="6">
        <v>10</v>
      </c>
      <c r="C15" s="125">
        <v>44967</v>
      </c>
      <c r="D15" s="125"/>
      <c r="E15" s="125"/>
      <c r="F15" s="93" t="s">
        <v>21</v>
      </c>
      <c r="G15" s="93"/>
      <c r="H15" s="4">
        <v>930000</v>
      </c>
      <c r="I15" s="94">
        <v>108</v>
      </c>
      <c r="J15" s="95"/>
      <c r="K15" s="94"/>
      <c r="L15" s="96"/>
      <c r="M15" s="96"/>
      <c r="N15" s="95"/>
    </row>
    <row r="16" spans="2:14" ht="27.6" thickBot="1" x14ac:dyDescent="1.05">
      <c r="B16" s="6">
        <v>11</v>
      </c>
      <c r="C16" s="125">
        <v>44969</v>
      </c>
      <c r="D16" s="125"/>
      <c r="E16" s="125"/>
      <c r="F16" s="93" t="s">
        <v>24</v>
      </c>
      <c r="G16" s="93"/>
      <c r="H16" s="4">
        <v>680000</v>
      </c>
      <c r="I16" s="94">
        <v>109</v>
      </c>
      <c r="J16" s="95"/>
      <c r="K16" s="94"/>
      <c r="L16" s="96"/>
      <c r="M16" s="96"/>
      <c r="N16" s="95"/>
    </row>
    <row r="17" spans="2:14" ht="27.6" thickBot="1" x14ac:dyDescent="1.05">
      <c r="B17" s="6">
        <v>12</v>
      </c>
      <c r="C17" s="125">
        <v>44971</v>
      </c>
      <c r="D17" s="125"/>
      <c r="E17" s="125"/>
      <c r="F17" s="93" t="s">
        <v>25</v>
      </c>
      <c r="G17" s="93"/>
      <c r="H17" s="4">
        <v>27650000</v>
      </c>
      <c r="I17" s="94">
        <v>110</v>
      </c>
      <c r="J17" s="95"/>
      <c r="K17" s="94"/>
      <c r="L17" s="96"/>
      <c r="M17" s="96"/>
      <c r="N17" s="95"/>
    </row>
    <row r="18" spans="2:14" ht="27.6" thickBot="1" x14ac:dyDescent="1.05">
      <c r="B18" s="6">
        <v>13</v>
      </c>
      <c r="C18" s="125">
        <v>44972</v>
      </c>
      <c r="D18" s="125"/>
      <c r="E18" s="125"/>
      <c r="F18" s="93" t="s">
        <v>21</v>
      </c>
      <c r="G18" s="93"/>
      <c r="H18" s="4">
        <v>910000</v>
      </c>
      <c r="I18" s="94">
        <v>111</v>
      </c>
      <c r="J18" s="95"/>
      <c r="K18" s="94"/>
      <c r="L18" s="96"/>
      <c r="M18" s="96"/>
      <c r="N18" s="95"/>
    </row>
    <row r="19" spans="2:14" ht="27.6" thickBot="1" x14ac:dyDescent="1.05">
      <c r="B19" s="6">
        <v>14</v>
      </c>
      <c r="C19" s="125">
        <v>44973</v>
      </c>
      <c r="D19" s="125"/>
      <c r="E19" s="125"/>
      <c r="F19" s="93" t="s">
        <v>26</v>
      </c>
      <c r="G19" s="93"/>
      <c r="H19" s="4">
        <v>6000000</v>
      </c>
      <c r="I19" s="94">
        <v>112</v>
      </c>
      <c r="J19" s="95"/>
      <c r="K19" s="94"/>
      <c r="L19" s="96"/>
      <c r="M19" s="96"/>
      <c r="N19" s="95"/>
    </row>
    <row r="20" spans="2:14" ht="27.6" thickBot="1" x14ac:dyDescent="1.05">
      <c r="B20" s="6">
        <v>15</v>
      </c>
      <c r="C20" s="125">
        <v>44973</v>
      </c>
      <c r="D20" s="125"/>
      <c r="E20" s="125"/>
      <c r="F20" s="93" t="s">
        <v>27</v>
      </c>
      <c r="G20" s="93"/>
      <c r="H20" s="4">
        <v>4530000</v>
      </c>
      <c r="I20" s="94">
        <v>113</v>
      </c>
      <c r="J20" s="95"/>
      <c r="K20" s="94"/>
      <c r="L20" s="96"/>
      <c r="M20" s="96"/>
      <c r="N20" s="95"/>
    </row>
    <row r="21" spans="2:14" ht="27.6" thickBot="1" x14ac:dyDescent="1.05">
      <c r="B21" s="6">
        <v>16</v>
      </c>
      <c r="C21" s="125">
        <v>44973</v>
      </c>
      <c r="D21" s="125"/>
      <c r="E21" s="125"/>
      <c r="F21" s="93" t="s">
        <v>28</v>
      </c>
      <c r="G21" s="93"/>
      <c r="H21" s="4">
        <v>4000000</v>
      </c>
      <c r="I21" s="94">
        <v>114</v>
      </c>
      <c r="J21" s="95"/>
      <c r="K21" s="94"/>
      <c r="L21" s="96"/>
      <c r="M21" s="96"/>
      <c r="N21" s="95"/>
    </row>
    <row r="22" spans="2:14" ht="27.6" thickBot="1" x14ac:dyDescent="1.05">
      <c r="B22" s="6">
        <v>17</v>
      </c>
      <c r="C22" s="125">
        <v>44974</v>
      </c>
      <c r="D22" s="125"/>
      <c r="E22" s="125"/>
      <c r="F22" s="93" t="s">
        <v>29</v>
      </c>
      <c r="G22" s="93"/>
      <c r="H22" s="4">
        <v>750000</v>
      </c>
      <c r="I22" s="94">
        <v>115</v>
      </c>
      <c r="J22" s="95"/>
      <c r="K22" s="94"/>
      <c r="L22" s="96"/>
      <c r="M22" s="96"/>
      <c r="N22" s="95"/>
    </row>
    <row r="23" spans="2:14" ht="27.6" thickBot="1" x14ac:dyDescent="1.05">
      <c r="B23" s="6">
        <v>18</v>
      </c>
      <c r="C23" s="125">
        <v>44975</v>
      </c>
      <c r="D23" s="125"/>
      <c r="E23" s="125"/>
      <c r="F23" s="93" t="s">
        <v>30</v>
      </c>
      <c r="G23" s="93"/>
      <c r="H23" s="4">
        <v>5460000</v>
      </c>
      <c r="I23" s="94">
        <v>116</v>
      </c>
      <c r="J23" s="95"/>
      <c r="K23" s="94"/>
      <c r="L23" s="96"/>
      <c r="M23" s="96"/>
      <c r="N23" s="95"/>
    </row>
    <row r="24" spans="2:14" ht="27.6" thickBot="1" x14ac:dyDescent="1.05">
      <c r="B24" s="6">
        <v>19</v>
      </c>
      <c r="C24" s="125">
        <v>44975</v>
      </c>
      <c r="D24" s="125"/>
      <c r="E24" s="125"/>
      <c r="F24" s="93" t="s">
        <v>31</v>
      </c>
      <c r="G24" s="93"/>
      <c r="H24" s="4">
        <v>400000</v>
      </c>
      <c r="I24" s="94">
        <v>117</v>
      </c>
      <c r="J24" s="95"/>
      <c r="K24" s="94"/>
      <c r="L24" s="96"/>
      <c r="M24" s="96"/>
      <c r="N24" s="95"/>
    </row>
    <row r="25" spans="2:14" ht="27.6" thickBot="1" x14ac:dyDescent="1.05">
      <c r="B25" s="6">
        <v>20</v>
      </c>
      <c r="C25" s="125">
        <v>44976</v>
      </c>
      <c r="D25" s="125"/>
      <c r="E25" s="125"/>
      <c r="F25" s="93" t="s">
        <v>32</v>
      </c>
      <c r="G25" s="93"/>
      <c r="H25" s="4">
        <v>39600000</v>
      </c>
      <c r="I25" s="94">
        <v>118</v>
      </c>
      <c r="J25" s="95"/>
      <c r="K25" s="94"/>
      <c r="L25" s="96"/>
      <c r="M25" s="96"/>
      <c r="N25" s="95"/>
    </row>
    <row r="26" spans="2:14" ht="27.6" thickBot="1" x14ac:dyDescent="1.05">
      <c r="B26" s="6">
        <v>21</v>
      </c>
      <c r="C26" s="125">
        <v>44976</v>
      </c>
      <c r="D26" s="125"/>
      <c r="E26" s="125"/>
      <c r="F26" s="93" t="s">
        <v>33</v>
      </c>
      <c r="G26" s="93"/>
      <c r="H26" s="4">
        <v>1100000</v>
      </c>
      <c r="I26" s="94">
        <v>119</v>
      </c>
      <c r="J26" s="95"/>
      <c r="K26" s="94"/>
      <c r="L26" s="96"/>
      <c r="M26" s="96"/>
      <c r="N26" s="95"/>
    </row>
    <row r="27" spans="2:14" ht="27.6" thickBot="1" x14ac:dyDescent="1.05">
      <c r="B27" s="6">
        <v>22</v>
      </c>
      <c r="C27" s="125">
        <v>44976</v>
      </c>
      <c r="D27" s="125"/>
      <c r="E27" s="125"/>
      <c r="F27" s="93" t="s">
        <v>29</v>
      </c>
      <c r="G27" s="93"/>
      <c r="H27" s="4">
        <v>730000</v>
      </c>
      <c r="I27" s="94">
        <v>120</v>
      </c>
      <c r="J27" s="95"/>
      <c r="K27" s="94"/>
      <c r="L27" s="96"/>
      <c r="M27" s="96"/>
      <c r="N27" s="95"/>
    </row>
    <row r="28" spans="2:14" ht="27.6" thickBot="1" x14ac:dyDescent="1.05">
      <c r="B28" s="6">
        <v>23</v>
      </c>
      <c r="C28" s="125">
        <v>44977</v>
      </c>
      <c r="D28" s="125"/>
      <c r="E28" s="125"/>
      <c r="F28" s="93" t="s">
        <v>37</v>
      </c>
      <c r="G28" s="93"/>
      <c r="H28" s="4">
        <v>1680000</v>
      </c>
      <c r="I28" s="94">
        <v>121</v>
      </c>
      <c r="J28" s="95"/>
      <c r="K28" s="94"/>
      <c r="L28" s="96"/>
      <c r="M28" s="96"/>
      <c r="N28" s="95"/>
    </row>
    <row r="29" spans="2:14" ht="27.6" thickBot="1" x14ac:dyDescent="1.05">
      <c r="B29" s="6">
        <v>24</v>
      </c>
      <c r="C29" s="125">
        <v>44977</v>
      </c>
      <c r="D29" s="125"/>
      <c r="E29" s="125"/>
      <c r="F29" s="93" t="s">
        <v>38</v>
      </c>
      <c r="G29" s="93"/>
      <c r="H29" s="4">
        <v>6250000</v>
      </c>
      <c r="I29" s="94">
        <v>122</v>
      </c>
      <c r="J29" s="95"/>
      <c r="K29" s="94"/>
      <c r="L29" s="96"/>
      <c r="M29" s="96"/>
      <c r="N29" s="95"/>
    </row>
    <row r="30" spans="2:14" ht="27.6" thickBot="1" x14ac:dyDescent="1.05">
      <c r="B30" s="7">
        <v>25</v>
      </c>
      <c r="C30" s="125"/>
      <c r="D30" s="125"/>
      <c r="E30" s="125"/>
      <c r="F30" s="127"/>
      <c r="G30" s="127"/>
      <c r="H30" s="5"/>
      <c r="I30" s="94"/>
      <c r="J30" s="95"/>
      <c r="K30" s="94"/>
      <c r="L30" s="96"/>
      <c r="M30" s="96"/>
      <c r="N30" s="95"/>
    </row>
    <row r="31" spans="2:14" s="1" customFormat="1" ht="29.4" customHeight="1" thickTop="1" thickBot="1" x14ac:dyDescent="0.3">
      <c r="B31" s="102" t="s">
        <v>12</v>
      </c>
      <c r="C31" s="102"/>
      <c r="D31" s="102"/>
      <c r="E31" s="102"/>
      <c r="F31" s="102"/>
      <c r="G31" s="103">
        <f>SUM(H6:H30)</f>
        <v>129930000</v>
      </c>
      <c r="H31" s="104"/>
      <c r="I31" s="104"/>
      <c r="J31" s="105"/>
      <c r="K31" s="106"/>
      <c r="L31" s="107"/>
      <c r="M31" s="107"/>
      <c r="N31" s="108"/>
    </row>
    <row r="32" spans="2:14" s="1" customFormat="1" ht="29.4" customHeight="1" thickBot="1" x14ac:dyDescent="0.3">
      <c r="B32" s="100" t="s">
        <v>13</v>
      </c>
      <c r="C32" s="100"/>
      <c r="D32" s="100"/>
      <c r="E32" s="100"/>
      <c r="F32" s="100"/>
      <c r="G32" s="109"/>
      <c r="H32" s="110"/>
      <c r="I32" s="110"/>
      <c r="J32" s="111"/>
      <c r="K32" s="97"/>
      <c r="L32" s="98"/>
      <c r="M32" s="98"/>
      <c r="N32" s="99"/>
    </row>
    <row r="33" spans="2:14" ht="82.2" customHeight="1" thickBot="1" x14ac:dyDescent="0.3">
      <c r="B33" s="101" t="s">
        <v>14</v>
      </c>
      <c r="C33" s="101"/>
      <c r="D33" s="101"/>
      <c r="E33" s="101"/>
      <c r="F33" s="101" t="s">
        <v>15</v>
      </c>
      <c r="G33" s="101"/>
      <c r="H33" s="101" t="s">
        <v>16</v>
      </c>
      <c r="I33" s="101"/>
      <c r="J33" s="101" t="s">
        <v>17</v>
      </c>
      <c r="K33" s="101"/>
      <c r="L33" s="101"/>
      <c r="M33" s="101"/>
      <c r="N33" s="101"/>
    </row>
  </sheetData>
  <mergeCells count="122">
    <mergeCell ref="M2:N2"/>
    <mergeCell ref="G31:J31"/>
    <mergeCell ref="K20:N20"/>
    <mergeCell ref="K21:N21"/>
    <mergeCell ref="K22:N22"/>
    <mergeCell ref="K23:N23"/>
    <mergeCell ref="K24:N24"/>
    <mergeCell ref="K25:N25"/>
    <mergeCell ref="K13:N13"/>
    <mergeCell ref="K14:N14"/>
    <mergeCell ref="K15:N15"/>
    <mergeCell ref="K16:N16"/>
    <mergeCell ref="K17:N17"/>
    <mergeCell ref="K18:N18"/>
    <mergeCell ref="K7:N7"/>
    <mergeCell ref="K8:N8"/>
    <mergeCell ref="I5:J5"/>
    <mergeCell ref="K5:N5"/>
    <mergeCell ref="I6:J6"/>
    <mergeCell ref="K6:N6"/>
    <mergeCell ref="I7:J7"/>
    <mergeCell ref="I8:J8"/>
    <mergeCell ref="F22:G22"/>
    <mergeCell ref="F23:G23"/>
    <mergeCell ref="I10:J10"/>
    <mergeCell ref="I11:J11"/>
    <mergeCell ref="I12:J12"/>
    <mergeCell ref="F24:G24"/>
    <mergeCell ref="F16:G16"/>
    <mergeCell ref="F17:G17"/>
    <mergeCell ref="F18:G18"/>
    <mergeCell ref="F19:G19"/>
    <mergeCell ref="F20:G20"/>
    <mergeCell ref="F21:G21"/>
    <mergeCell ref="F10:G10"/>
    <mergeCell ref="F11:G11"/>
    <mergeCell ref="C29:E29"/>
    <mergeCell ref="C30:E30"/>
    <mergeCell ref="C23:E23"/>
    <mergeCell ref="C24:E24"/>
    <mergeCell ref="K9:N9"/>
    <mergeCell ref="K10:N10"/>
    <mergeCell ref="F25:G25"/>
    <mergeCell ref="F26:G26"/>
    <mergeCell ref="F27:G27"/>
    <mergeCell ref="K28:N28"/>
    <mergeCell ref="K29:N29"/>
    <mergeCell ref="K30:N30"/>
    <mergeCell ref="I13:J13"/>
    <mergeCell ref="I14:J14"/>
    <mergeCell ref="I25:J25"/>
    <mergeCell ref="I26:J26"/>
    <mergeCell ref="F12:G12"/>
    <mergeCell ref="F13:G13"/>
    <mergeCell ref="F14:G14"/>
    <mergeCell ref="F15:G15"/>
    <mergeCell ref="C11:E11"/>
    <mergeCell ref="C12:E12"/>
    <mergeCell ref="C18:E18"/>
    <mergeCell ref="C19:E19"/>
    <mergeCell ref="H33:I33"/>
    <mergeCell ref="F33:G33"/>
    <mergeCell ref="G32:J32"/>
    <mergeCell ref="C21:E21"/>
    <mergeCell ref="C22:E22"/>
    <mergeCell ref="C25:E25"/>
    <mergeCell ref="C26:E26"/>
    <mergeCell ref="C13:E13"/>
    <mergeCell ref="C14:E14"/>
    <mergeCell ref="C15:E15"/>
    <mergeCell ref="C16:E16"/>
    <mergeCell ref="F28:G28"/>
    <mergeCell ref="F29:G29"/>
    <mergeCell ref="F30:G30"/>
    <mergeCell ref="I15:J15"/>
    <mergeCell ref="I16:J16"/>
    <mergeCell ref="J33:N33"/>
    <mergeCell ref="K32:N32"/>
    <mergeCell ref="B31:F31"/>
    <mergeCell ref="B32:F32"/>
    <mergeCell ref="B33:E33"/>
    <mergeCell ref="C27:E27"/>
    <mergeCell ref="C28:E28"/>
    <mergeCell ref="C17:E17"/>
    <mergeCell ref="K31:N31"/>
    <mergeCell ref="I30:J30"/>
    <mergeCell ref="K26:N26"/>
    <mergeCell ref="K27:N27"/>
    <mergeCell ref="I20:J20"/>
    <mergeCell ref="I21:J21"/>
    <mergeCell ref="I22:J22"/>
    <mergeCell ref="I23:J23"/>
    <mergeCell ref="I19:J19"/>
    <mergeCell ref="K19:N19"/>
    <mergeCell ref="I27:J27"/>
    <mergeCell ref="I28:J28"/>
    <mergeCell ref="I29:J29"/>
    <mergeCell ref="I24:J24"/>
    <mergeCell ref="C20:E20"/>
    <mergeCell ref="J3:N3"/>
    <mergeCell ref="J4:N4"/>
    <mergeCell ref="J2:K2"/>
    <mergeCell ref="C5:E5"/>
    <mergeCell ref="C6:E6"/>
    <mergeCell ref="C7:E7"/>
    <mergeCell ref="C8:E8"/>
    <mergeCell ref="C9:E9"/>
    <mergeCell ref="C10:E10"/>
    <mergeCell ref="B2:E3"/>
    <mergeCell ref="F2:H3"/>
    <mergeCell ref="E4:F4"/>
    <mergeCell ref="B4:D4"/>
    <mergeCell ref="F5:G5"/>
    <mergeCell ref="F6:G6"/>
    <mergeCell ref="F7:G7"/>
    <mergeCell ref="F8:G8"/>
    <mergeCell ref="F9:G9"/>
    <mergeCell ref="K11:N11"/>
    <mergeCell ref="K12:N12"/>
    <mergeCell ref="I17:J17"/>
    <mergeCell ref="I18:J18"/>
    <mergeCell ref="I9:J9"/>
  </mergeCells>
  <printOptions horizontalCentered="1" verticalCentered="1"/>
  <pageMargins left="0.25" right="0.25" top="0.5" bottom="0.5" header="0" footer="0"/>
  <pageSetup paperSize="9" scale="63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23</vt:i4>
      </vt:variant>
    </vt:vector>
  </HeadingPairs>
  <TitlesOfParts>
    <vt:vector size="48" baseType="lpstr">
      <vt:lpstr>670-696</vt:lpstr>
      <vt:lpstr>643-667</vt:lpstr>
      <vt:lpstr>617-642</vt:lpstr>
      <vt:lpstr>592-616</vt:lpstr>
      <vt:lpstr>567-591</vt:lpstr>
      <vt:lpstr>542-566</vt:lpstr>
      <vt:lpstr>517-541</vt:lpstr>
      <vt:lpstr>492-516</vt:lpstr>
      <vt:lpstr>467-491</vt:lpstr>
      <vt:lpstr>442-466</vt:lpstr>
      <vt:lpstr>417-441</vt:lpstr>
      <vt:lpstr>392-416</vt:lpstr>
      <vt:lpstr>366-391</vt:lpstr>
      <vt:lpstr>341-365</vt:lpstr>
      <vt:lpstr>329-340</vt:lpstr>
      <vt:lpstr>304-328</vt:lpstr>
      <vt:lpstr>279-303</vt:lpstr>
      <vt:lpstr>254-278</vt:lpstr>
      <vt:lpstr>229-253</vt:lpstr>
      <vt:lpstr>203-227</vt:lpstr>
      <vt:lpstr>178-202</vt:lpstr>
      <vt:lpstr>153-177</vt:lpstr>
      <vt:lpstr>128-152</vt:lpstr>
      <vt:lpstr>123-127</vt:lpstr>
      <vt:lpstr>99-122</vt:lpstr>
      <vt:lpstr>'128-152'!Print_Area</vt:lpstr>
      <vt:lpstr>'153-177'!Print_Area</vt:lpstr>
      <vt:lpstr>'178-202'!Print_Area</vt:lpstr>
      <vt:lpstr>'203-227'!Print_Area</vt:lpstr>
      <vt:lpstr>'229-253'!Print_Area</vt:lpstr>
      <vt:lpstr>'254-278'!Print_Area</vt:lpstr>
      <vt:lpstr>'279-303'!Print_Area</vt:lpstr>
      <vt:lpstr>'304-328'!Print_Area</vt:lpstr>
      <vt:lpstr>'329-340'!Print_Area</vt:lpstr>
      <vt:lpstr>'341-365'!Print_Area</vt:lpstr>
      <vt:lpstr>'366-391'!Print_Area</vt:lpstr>
      <vt:lpstr>'392-416'!Print_Area</vt:lpstr>
      <vt:lpstr>'417-441'!Print_Area</vt:lpstr>
      <vt:lpstr>'442-466'!Print_Area</vt:lpstr>
      <vt:lpstr>'467-491'!Print_Area</vt:lpstr>
      <vt:lpstr>'492-516'!Print_Area</vt:lpstr>
      <vt:lpstr>'517-541'!Print_Area</vt:lpstr>
      <vt:lpstr>'542-566'!Print_Area</vt:lpstr>
      <vt:lpstr>'567-591'!Print_Area</vt:lpstr>
      <vt:lpstr>'592-616'!Print_Area</vt:lpstr>
      <vt:lpstr>'617-642'!Print_Area</vt:lpstr>
      <vt:lpstr>'643-667'!Print_Area</vt:lpstr>
      <vt:lpstr>'670-696'!Print_Area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2023-08-25T18:23:46Z</dcterms:modified>
</cp:coreProperties>
</file>